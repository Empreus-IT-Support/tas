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Advertising\Web Page updates\2020\Updated Forms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Area" localSheetId="0">Sheet1!$A$1:$H$141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6" i="1" l="1"/>
  <c r="E116" i="1"/>
  <c r="E106" i="1"/>
  <c r="E96" i="1"/>
  <c r="E86" i="1"/>
  <c r="E76" i="1"/>
  <c r="E66" i="1"/>
  <c r="E56" i="1"/>
  <c r="E46" i="1"/>
  <c r="E36" i="1"/>
  <c r="G128" i="1"/>
  <c r="D128" i="1"/>
  <c r="G118" i="1"/>
  <c r="D118" i="1"/>
  <c r="G108" i="1"/>
  <c r="D108" i="1"/>
  <c r="G98" i="1"/>
  <c r="D98" i="1"/>
  <c r="G88" i="1"/>
  <c r="D88" i="1"/>
  <c r="G78" i="1"/>
  <c r="D78" i="1"/>
  <c r="G68" i="1"/>
  <c r="D68" i="1"/>
  <c r="G58" i="1"/>
  <c r="D58" i="1"/>
  <c r="G48" i="1"/>
  <c r="D48" i="1"/>
  <c r="G38" i="1"/>
  <c r="D38" i="1"/>
  <c r="G28" i="1"/>
  <c r="G30" i="1"/>
  <c r="F36" i="1"/>
  <c r="B29" i="1" l="1"/>
  <c r="G134" i="1"/>
  <c r="B134" i="1"/>
  <c r="D134" i="1" s="1"/>
  <c r="G133" i="1"/>
  <c r="B133" i="1"/>
  <c r="D133" i="1" s="1"/>
  <c r="G132" i="1"/>
  <c r="B132" i="1"/>
  <c r="D132" i="1" s="1"/>
  <c r="G131" i="1"/>
  <c r="B131" i="1"/>
  <c r="D131" i="1" s="1"/>
  <c r="G130" i="1"/>
  <c r="B130" i="1"/>
  <c r="D130" i="1" s="1"/>
  <c r="G129" i="1"/>
  <c r="B128" i="1"/>
  <c r="B129" i="1" s="1"/>
  <c r="D129" i="1" s="1"/>
  <c r="G124" i="1"/>
  <c r="B124" i="1"/>
  <c r="D124" i="1" s="1"/>
  <c r="G123" i="1"/>
  <c r="B123" i="1"/>
  <c r="D123" i="1" s="1"/>
  <c r="G122" i="1"/>
  <c r="B122" i="1"/>
  <c r="D122" i="1" s="1"/>
  <c r="G121" i="1"/>
  <c r="B121" i="1"/>
  <c r="D121" i="1" s="1"/>
  <c r="G120" i="1"/>
  <c r="B120" i="1"/>
  <c r="D120" i="1" s="1"/>
  <c r="G119" i="1"/>
  <c r="B118" i="1"/>
  <c r="B119" i="1" s="1"/>
  <c r="D119" i="1" s="1"/>
  <c r="G114" i="1"/>
  <c r="B114" i="1"/>
  <c r="D114" i="1" s="1"/>
  <c r="G113" i="1"/>
  <c r="B113" i="1"/>
  <c r="D113" i="1" s="1"/>
  <c r="G112" i="1"/>
  <c r="B112" i="1"/>
  <c r="D112" i="1" s="1"/>
  <c r="G111" i="1"/>
  <c r="B111" i="1"/>
  <c r="D111" i="1" s="1"/>
  <c r="G110" i="1"/>
  <c r="B110" i="1"/>
  <c r="D110" i="1" s="1"/>
  <c r="G109" i="1"/>
  <c r="B108" i="1"/>
  <c r="B109" i="1" s="1"/>
  <c r="D109" i="1" s="1"/>
  <c r="G104" i="1"/>
  <c r="B104" i="1"/>
  <c r="D104" i="1" s="1"/>
  <c r="G103" i="1"/>
  <c r="B103" i="1"/>
  <c r="D103" i="1" s="1"/>
  <c r="G102" i="1"/>
  <c r="B102" i="1"/>
  <c r="D102" i="1" s="1"/>
  <c r="G101" i="1"/>
  <c r="B101" i="1"/>
  <c r="D101" i="1" s="1"/>
  <c r="G100" i="1"/>
  <c r="B100" i="1"/>
  <c r="D100" i="1" s="1"/>
  <c r="G99" i="1"/>
  <c r="B98" i="1"/>
  <c r="B99" i="1" s="1"/>
  <c r="D99" i="1" s="1"/>
  <c r="G94" i="1"/>
  <c r="B94" i="1"/>
  <c r="D94" i="1" s="1"/>
  <c r="G93" i="1"/>
  <c r="B93" i="1"/>
  <c r="D93" i="1" s="1"/>
  <c r="G92" i="1"/>
  <c r="B92" i="1"/>
  <c r="D92" i="1" s="1"/>
  <c r="G91" i="1"/>
  <c r="B91" i="1"/>
  <c r="D91" i="1" s="1"/>
  <c r="G90" i="1"/>
  <c r="B90" i="1"/>
  <c r="D90" i="1" s="1"/>
  <c r="G89" i="1"/>
  <c r="B88" i="1"/>
  <c r="B89" i="1" s="1"/>
  <c r="D89" i="1" s="1"/>
  <c r="G84" i="1"/>
  <c r="B84" i="1"/>
  <c r="D84" i="1" s="1"/>
  <c r="G83" i="1"/>
  <c r="B83" i="1"/>
  <c r="D83" i="1" s="1"/>
  <c r="G82" i="1"/>
  <c r="B82" i="1"/>
  <c r="D82" i="1" s="1"/>
  <c r="G81" i="1"/>
  <c r="B81" i="1"/>
  <c r="D81" i="1" s="1"/>
  <c r="G80" i="1"/>
  <c r="B80" i="1"/>
  <c r="D80" i="1" s="1"/>
  <c r="G79" i="1"/>
  <c r="B78" i="1"/>
  <c r="B79" i="1" s="1"/>
  <c r="D79" i="1" s="1"/>
  <c r="G74" i="1"/>
  <c r="B74" i="1"/>
  <c r="D74" i="1" s="1"/>
  <c r="G73" i="1"/>
  <c r="B73" i="1"/>
  <c r="D73" i="1" s="1"/>
  <c r="G72" i="1"/>
  <c r="B72" i="1"/>
  <c r="D72" i="1" s="1"/>
  <c r="G71" i="1"/>
  <c r="B71" i="1"/>
  <c r="D71" i="1" s="1"/>
  <c r="G70" i="1"/>
  <c r="B70" i="1"/>
  <c r="D70" i="1" s="1"/>
  <c r="G69" i="1"/>
  <c r="B68" i="1"/>
  <c r="B69" i="1" s="1"/>
  <c r="D69" i="1" s="1"/>
  <c r="G64" i="1"/>
  <c r="B64" i="1"/>
  <c r="D64" i="1" s="1"/>
  <c r="G63" i="1"/>
  <c r="B63" i="1"/>
  <c r="D63" i="1" s="1"/>
  <c r="G62" i="1"/>
  <c r="B62" i="1"/>
  <c r="D62" i="1" s="1"/>
  <c r="G61" i="1"/>
  <c r="B61" i="1"/>
  <c r="D61" i="1" s="1"/>
  <c r="G60" i="1"/>
  <c r="B60" i="1"/>
  <c r="D60" i="1" s="1"/>
  <c r="G59" i="1"/>
  <c r="B58" i="1"/>
  <c r="B59" i="1" s="1"/>
  <c r="D59" i="1" s="1"/>
  <c r="G54" i="1"/>
  <c r="B54" i="1"/>
  <c r="D54" i="1" s="1"/>
  <c r="G53" i="1"/>
  <c r="B53" i="1"/>
  <c r="D53" i="1" s="1"/>
  <c r="G52" i="1"/>
  <c r="B52" i="1"/>
  <c r="D52" i="1" s="1"/>
  <c r="G51" i="1"/>
  <c r="B51" i="1"/>
  <c r="D51" i="1" s="1"/>
  <c r="G50" i="1"/>
  <c r="B50" i="1"/>
  <c r="D50" i="1" s="1"/>
  <c r="G49" i="1"/>
  <c r="B48" i="1"/>
  <c r="B49" i="1" s="1"/>
  <c r="D49" i="1" s="1"/>
  <c r="G44" i="1"/>
  <c r="B44" i="1"/>
  <c r="D44" i="1" s="1"/>
  <c r="G43" i="1"/>
  <c r="B43" i="1"/>
  <c r="D43" i="1" s="1"/>
  <c r="G42" i="1"/>
  <c r="B42" i="1"/>
  <c r="D42" i="1" s="1"/>
  <c r="G41" i="1"/>
  <c r="B41" i="1"/>
  <c r="D41" i="1" s="1"/>
  <c r="G40" i="1"/>
  <c r="B40" i="1"/>
  <c r="D40" i="1" s="1"/>
  <c r="G39" i="1"/>
  <c r="B38" i="1"/>
  <c r="B39" i="1" s="1"/>
  <c r="D39" i="1" s="1"/>
  <c r="B18" i="1"/>
  <c r="D18" i="1" s="1"/>
  <c r="G34" i="1"/>
  <c r="B34" i="1"/>
  <c r="D34" i="1" s="1"/>
  <c r="G33" i="1"/>
  <c r="B33" i="1"/>
  <c r="D33" i="1" s="1"/>
  <c r="G32" i="1"/>
  <c r="B32" i="1"/>
  <c r="D32" i="1" s="1"/>
  <c r="G31" i="1"/>
  <c r="B31" i="1"/>
  <c r="D31" i="1" s="1"/>
  <c r="B30" i="1"/>
  <c r="D30" i="1" s="1"/>
  <c r="G29" i="1"/>
  <c r="B28" i="1"/>
  <c r="D28" i="1" s="1"/>
  <c r="G24" i="1"/>
  <c r="B24" i="1"/>
  <c r="D24" i="1" s="1"/>
  <c r="G23" i="1"/>
  <c r="B23" i="1"/>
  <c r="D23" i="1" s="1"/>
  <c r="G22" i="1"/>
  <c r="B22" i="1"/>
  <c r="D22" i="1" s="1"/>
  <c r="G21" i="1"/>
  <c r="B21" i="1"/>
  <c r="D21" i="1" s="1"/>
  <c r="G20" i="1"/>
  <c r="B20" i="1"/>
  <c r="D20" i="1" s="1"/>
  <c r="G19" i="1"/>
  <c r="G18" i="1"/>
  <c r="B19" i="1"/>
  <c r="D19" i="1" s="1"/>
  <c r="A18" i="1"/>
  <c r="D29" i="1" l="1"/>
  <c r="F55" i="1"/>
  <c r="F25" i="1"/>
  <c r="A19" i="1"/>
  <c r="A20" i="1" s="1"/>
  <c r="A21" i="1" l="1"/>
  <c r="A22" i="1" s="1"/>
  <c r="A23" i="1" s="1"/>
  <c r="A24" i="1" s="1"/>
  <c r="A28" i="1" s="1"/>
  <c r="A29" i="1" s="1"/>
  <c r="A30" i="1" s="1"/>
  <c r="A31" i="1" l="1"/>
  <c r="A32" i="1" s="1"/>
  <c r="A33" i="1" s="1"/>
  <c r="A34" i="1" l="1"/>
  <c r="A38" i="1" s="1"/>
  <c r="A39" i="1" s="1"/>
  <c r="A40" i="1" s="1"/>
  <c r="A41" i="1" s="1"/>
  <c r="A42" i="1" s="1"/>
  <c r="E35" i="1"/>
  <c r="E25" i="1" l="1"/>
  <c r="A43" i="1"/>
  <c r="A44" i="1" s="1"/>
  <c r="A48" i="1" s="1"/>
  <c r="A49" i="1" s="1"/>
  <c r="A50" i="1" s="1"/>
  <c r="A51" i="1" s="1"/>
  <c r="A52" i="1" s="1"/>
  <c r="F26" i="1" l="1"/>
  <c r="E26" i="1"/>
  <c r="A53" i="1"/>
  <c r="A54" i="1" s="1"/>
  <c r="A58" i="1" s="1"/>
  <c r="A59" i="1" s="1"/>
  <c r="A60" i="1" s="1"/>
  <c r="A61" i="1" s="1"/>
  <c r="A62" i="1" s="1"/>
  <c r="A63" i="1" s="1"/>
  <c r="A64" i="1" s="1"/>
  <c r="A68" i="1" s="1"/>
  <c r="A69" i="1" s="1"/>
  <c r="A70" i="1" s="1"/>
  <c r="A71" i="1" s="1"/>
  <c r="A72" i="1" s="1"/>
  <c r="A73" i="1" s="1"/>
  <c r="F35" i="1"/>
  <c r="A74" i="1" l="1"/>
  <c r="A78" i="1" s="1"/>
  <c r="A79" i="1" s="1"/>
  <c r="A80" i="1" s="1"/>
  <c r="A81" i="1" s="1"/>
  <c r="A82" i="1" s="1"/>
  <c r="A83" i="1" s="1"/>
  <c r="A84" i="1" s="1"/>
  <c r="A88" i="1" s="1"/>
  <c r="A89" i="1" s="1"/>
  <c r="A90" i="1" s="1"/>
  <c r="A91" i="1" s="1"/>
  <c r="A92" i="1" s="1"/>
  <c r="A93" i="1" s="1"/>
  <c r="A94" i="1" s="1"/>
  <c r="A98" i="1" s="1"/>
  <c r="A99" i="1" s="1"/>
  <c r="A100" i="1" s="1"/>
  <c r="A101" i="1" s="1"/>
  <c r="A102" i="1" s="1"/>
  <c r="A103" i="1" s="1"/>
  <c r="A104" i="1" s="1"/>
  <c r="A108" i="1" s="1"/>
  <c r="A109" i="1" s="1"/>
  <c r="A110" i="1" s="1"/>
  <c r="A111" i="1" s="1"/>
  <c r="A112" i="1" s="1"/>
  <c r="A113" i="1" s="1"/>
  <c r="A114" i="1" s="1"/>
  <c r="A118" i="1" s="1"/>
  <c r="A119" i="1" s="1"/>
  <c r="A120" i="1" s="1"/>
  <c r="A121" i="1" s="1"/>
  <c r="A122" i="1" s="1"/>
  <c r="A123" i="1" s="1"/>
  <c r="A124" i="1" s="1"/>
  <c r="A128" i="1" s="1"/>
  <c r="A129" i="1" s="1"/>
  <c r="A130" i="1" s="1"/>
  <c r="A131" i="1" s="1"/>
  <c r="A132" i="1" s="1"/>
  <c r="A133" i="1" s="1"/>
  <c r="A134" i="1" s="1"/>
  <c r="E45" i="1" l="1"/>
  <c r="F45" i="1" l="1"/>
  <c r="F46" i="1" s="1"/>
  <c r="E55" i="1" l="1"/>
  <c r="F56" i="1" l="1"/>
  <c r="E65" i="1"/>
  <c r="F65" i="1" l="1"/>
  <c r="F66" i="1" s="1"/>
  <c r="F75" i="1" l="1"/>
  <c r="F76" i="1" l="1"/>
  <c r="E75" i="1"/>
  <c r="F85" i="1" l="1"/>
  <c r="E85" i="1"/>
  <c r="F86" i="1" l="1"/>
  <c r="F95" i="1"/>
  <c r="E95" i="1"/>
  <c r="F96" i="1" l="1"/>
  <c r="E105" i="1"/>
  <c r="F105" i="1" l="1"/>
  <c r="F106" i="1" s="1"/>
  <c r="E115" i="1" l="1"/>
  <c r="F115" i="1" l="1"/>
  <c r="F116" i="1" s="1"/>
  <c r="E125" i="1" l="1"/>
  <c r="F125" i="1" l="1"/>
  <c r="F126" i="1" s="1"/>
  <c r="E135" i="1" l="1"/>
  <c r="E137" i="1" l="1"/>
  <c r="F135" i="1" l="1"/>
  <c r="F136" i="1" l="1"/>
  <c r="E136" i="1"/>
  <c r="F137" i="1"/>
  <c r="F138" i="1" l="1"/>
  <c r="E138" i="1"/>
</calcChain>
</file>

<file path=xl/sharedStrings.xml><?xml version="1.0" encoding="utf-8"?>
<sst xmlns="http://schemas.openxmlformats.org/spreadsheetml/2006/main" count="52" uniqueCount="40">
  <si>
    <t>www.tascentre.com.au</t>
  </si>
  <si>
    <t>Date of Trip</t>
  </si>
  <si>
    <t xml:space="preserve">Odometer Reading </t>
  </si>
  <si>
    <t>Kilometers travelled</t>
  </si>
  <si>
    <t>Start</t>
  </si>
  <si>
    <t>Finish</t>
  </si>
  <si>
    <t>Business</t>
  </si>
  <si>
    <t>Personal</t>
  </si>
  <si>
    <t>Business / Personal Usage %</t>
  </si>
  <si>
    <t>Total 12 week period</t>
  </si>
  <si>
    <t>Total 12 week period %</t>
  </si>
  <si>
    <t>Vehicle Claim logbook</t>
  </si>
  <si>
    <t xml:space="preserve">Vehicle Registration: </t>
  </si>
  <si>
    <t>Vehicle Type:</t>
  </si>
  <si>
    <t>E.g. Ford Flacon XR6</t>
  </si>
  <si>
    <t>Engine Size:</t>
  </si>
  <si>
    <t>Period:</t>
  </si>
  <si>
    <t>E.g. 123 TAX</t>
  </si>
  <si>
    <t>Start date:</t>
  </si>
  <si>
    <t>Beginning odemeter reading</t>
  </si>
  <si>
    <t>E.g. 41,355</t>
  </si>
  <si>
    <t>Total</t>
  </si>
  <si>
    <t xml:space="preserve">Total week 1 </t>
  </si>
  <si>
    <t xml:space="preserve">Total week 2 </t>
  </si>
  <si>
    <t xml:space="preserve">Total week 3 </t>
  </si>
  <si>
    <t xml:space="preserve">Total week 4 </t>
  </si>
  <si>
    <t xml:space="preserve">Total week 5 </t>
  </si>
  <si>
    <t xml:space="preserve">Total week 6 </t>
  </si>
  <si>
    <t xml:space="preserve">Total week 7 </t>
  </si>
  <si>
    <t xml:space="preserve">Total week 8 </t>
  </si>
  <si>
    <t xml:space="preserve">Total week 9 </t>
  </si>
  <si>
    <t xml:space="preserve">Total week 10 </t>
  </si>
  <si>
    <t>Tax Accounting       and Super Centre</t>
  </si>
  <si>
    <t xml:space="preserve">Total week 11 </t>
  </si>
  <si>
    <t xml:space="preserve">Total week 12 </t>
  </si>
  <si>
    <t>E.g. 4 litre</t>
  </si>
  <si>
    <t>© Tax, Accounting And Super Centre 2014</t>
  </si>
  <si>
    <t>Mount Isa Qld: (07) 4743 6342</t>
  </si>
  <si>
    <t>E.g.Tue, 1 July 2019</t>
  </si>
  <si>
    <t>E.g.1 July 2019 to 30 June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</si>
</sst>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[$-C09]ddd\,\ d\ mmm\ yyyy"/>
  </numFmts>
  <fonts count="11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sz val="33"/>
      <color theme="1"/>
      <name val="Impact"/>
      <family val="2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u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9">
    <xf numFmtId="0" fontId="0" fillId="0" borderId="0" xfId="0"/>
    <xf numFmtId="0" fontId="9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8" fillId="2" borderId="4" xfId="0" applyFont="1" applyFill="1" applyBorder="1"/>
    <xf numFmtId="0" fontId="0" fillId="2" borderId="0" xfId="0" applyFill="1" applyBorder="1"/>
    <xf numFmtId="0" fontId="0" fillId="2" borderId="5" xfId="0" applyFill="1" applyBorder="1"/>
    <xf numFmtId="17" fontId="0" fillId="2" borderId="0" xfId="0" applyNumberFormat="1" applyFill="1" applyBorder="1" applyAlignment="1">
      <alignment horizontal="left"/>
    </xf>
    <xf numFmtId="0" fontId="0" fillId="2" borderId="1" xfId="0" applyFill="1" applyBorder="1"/>
    <xf numFmtId="0" fontId="6" fillId="2" borderId="3" xfId="1" applyFont="1" applyFill="1" applyBorder="1"/>
    <xf numFmtId="0" fontId="0" fillId="2" borderId="9" xfId="0" applyFill="1" applyBorder="1"/>
    <xf numFmtId="0" fontId="5" fillId="2" borderId="5" xfId="0" applyFont="1" applyFill="1" applyBorder="1" applyAlignment="1"/>
    <xf numFmtId="0" fontId="4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justify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5" fontId="0" fillId="2" borderId="4" xfId="0" applyNumberFormat="1" applyFill="1" applyBorder="1"/>
    <xf numFmtId="164" fontId="0" fillId="2" borderId="4" xfId="2" applyNumberFormat="1" applyFont="1" applyFill="1" applyBorder="1"/>
    <xf numFmtId="165" fontId="8" fillId="2" borderId="4" xfId="0" applyNumberFormat="1" applyFont="1" applyFill="1" applyBorder="1" applyAlignment="1">
      <alignment horizontal="right"/>
    </xf>
    <xf numFmtId="164" fontId="8" fillId="2" borderId="7" xfId="2" applyNumberFormat="1" applyFont="1" applyFill="1" applyBorder="1"/>
    <xf numFmtId="164" fontId="8" fillId="2" borderId="4" xfId="2" applyNumberFormat="1" applyFont="1" applyFill="1" applyBorder="1"/>
    <xf numFmtId="164" fontId="8" fillId="2" borderId="2" xfId="2" applyNumberFormat="1" applyFont="1" applyFill="1" applyBorder="1"/>
    <xf numFmtId="0" fontId="8" fillId="2" borderId="3" xfId="0" applyFont="1" applyFill="1" applyBorder="1" applyAlignment="1">
      <alignment wrapText="1"/>
    </xf>
    <xf numFmtId="165" fontId="8" fillId="2" borderId="15" xfId="0" applyNumberFormat="1" applyFont="1" applyFill="1" applyBorder="1" applyAlignment="1">
      <alignment horizontal="left"/>
    </xf>
    <xf numFmtId="164" fontId="8" fillId="2" borderId="11" xfId="2" applyNumberFormat="1" applyFont="1" applyFill="1" applyBorder="1"/>
    <xf numFmtId="9" fontId="8" fillId="2" borderId="10" xfId="3" applyFont="1" applyFill="1" applyBorder="1"/>
    <xf numFmtId="0" fontId="8" fillId="2" borderId="12" xfId="0" applyFont="1" applyFill="1" applyBorder="1" applyAlignment="1">
      <alignment wrapText="1"/>
    </xf>
    <xf numFmtId="165" fontId="8" fillId="2" borderId="14" xfId="0" applyNumberFormat="1" applyFont="1" applyFill="1" applyBorder="1" applyAlignment="1">
      <alignment horizontal="left"/>
    </xf>
    <xf numFmtId="164" fontId="8" fillId="2" borderId="0" xfId="2" applyNumberFormat="1" applyFont="1" applyFill="1" applyBorder="1"/>
    <xf numFmtId="9" fontId="8" fillId="2" borderId="9" xfId="3" applyFont="1" applyFill="1" applyBorder="1"/>
    <xf numFmtId="9" fontId="8" fillId="2" borderId="14" xfId="3" applyFont="1" applyFill="1" applyBorder="1"/>
    <xf numFmtId="9" fontId="8" fillId="2" borderId="0" xfId="3" applyFont="1" applyFill="1" applyBorder="1"/>
    <xf numFmtId="0" fontId="8" fillId="2" borderId="5" xfId="0" applyFont="1" applyFill="1" applyBorder="1" applyAlignment="1">
      <alignment wrapText="1"/>
    </xf>
    <xf numFmtId="165" fontId="8" fillId="2" borderId="15" xfId="0" applyNumberFormat="1" applyFont="1" applyFill="1" applyBorder="1" applyAlignment="1">
      <alignment horizontal="right"/>
    </xf>
    <xf numFmtId="165" fontId="8" fillId="2" borderId="14" xfId="0" applyNumberFormat="1" applyFont="1" applyFill="1" applyBorder="1" applyAlignment="1">
      <alignment horizontal="right"/>
    </xf>
    <xf numFmtId="9" fontId="8" fillId="2" borderId="4" xfId="3" applyFont="1" applyFill="1" applyBorder="1"/>
    <xf numFmtId="165" fontId="8" fillId="2" borderId="13" xfId="0" applyNumberFormat="1" applyFont="1" applyFill="1" applyBorder="1" applyAlignment="1">
      <alignment horizontal="left"/>
    </xf>
    <xf numFmtId="9" fontId="8" fillId="2" borderId="1" xfId="3" applyFont="1" applyFill="1" applyBorder="1"/>
    <xf numFmtId="9" fontId="8" fillId="2" borderId="13" xfId="3" applyFont="1" applyFill="1" applyBorder="1"/>
    <xf numFmtId="164" fontId="8" fillId="2" borderId="6" xfId="2" applyNumberFormat="1" applyFont="1" applyFill="1" applyBorder="1"/>
    <xf numFmtId="0" fontId="0" fillId="2" borderId="5" xfId="0" applyFill="1" applyBorder="1" applyAlignment="1">
      <alignment wrapText="1"/>
    </xf>
    <xf numFmtId="164" fontId="8" fillId="2" borderId="8" xfId="2" applyNumberFormat="1" applyFont="1" applyFill="1" applyBorder="1"/>
    <xf numFmtId="165" fontId="8" fillId="2" borderId="4" xfId="0" applyNumberFormat="1" applyFont="1" applyFill="1" applyBorder="1" applyAlignment="1">
      <alignment horizontal="left"/>
    </xf>
    <xf numFmtId="164" fontId="8" fillId="2" borderId="10" xfId="2" applyNumberFormat="1" applyFont="1" applyFill="1" applyBorder="1"/>
    <xf numFmtId="164" fontId="8" fillId="2" borderId="12" xfId="2" applyNumberFormat="1" applyFont="1" applyFill="1" applyBorder="1"/>
    <xf numFmtId="164" fontId="8" fillId="2" borderId="5" xfId="2" applyNumberFormat="1" applyFont="1" applyFill="1" applyBorder="1" applyAlignment="1">
      <alignment wrapText="1"/>
    </xf>
    <xf numFmtId="0" fontId="8" fillId="2" borderId="11" xfId="0" applyFont="1" applyFill="1" applyBorder="1"/>
    <xf numFmtId="9" fontId="8" fillId="2" borderId="11" xfId="3" applyNumberFormat="1" applyFont="1" applyFill="1" applyBorder="1"/>
    <xf numFmtId="9" fontId="8" fillId="2" borderId="6" xfId="3" applyFont="1" applyFill="1" applyBorder="1"/>
    <xf numFmtId="164" fontId="0" fillId="3" borderId="4" xfId="2" applyNumberFormat="1" applyFont="1" applyFill="1" applyBorder="1" applyProtection="1">
      <protection locked="0"/>
    </xf>
    <xf numFmtId="0" fontId="0" fillId="3" borderId="4" xfId="0" applyFill="1" applyBorder="1" applyAlignment="1" applyProtection="1">
      <alignment wrapText="1"/>
      <protection locked="0"/>
    </xf>
    <xf numFmtId="164" fontId="0" fillId="3" borderId="4" xfId="2" applyNumberFormat="1" applyFont="1" applyFill="1" applyBorder="1" applyAlignment="1" applyProtection="1">
      <alignment wrapText="1"/>
      <protection locked="0"/>
    </xf>
    <xf numFmtId="9" fontId="8" fillId="2" borderId="15" xfId="3" applyFont="1" applyFill="1" applyBorder="1" applyAlignment="1">
      <alignment horizontal="center"/>
    </xf>
    <xf numFmtId="9" fontId="8" fillId="2" borderId="10" xfId="3" applyFont="1" applyFill="1" applyBorder="1" applyAlignment="1">
      <alignment horizontal="center"/>
    </xf>
    <xf numFmtId="0" fontId="6" fillId="2" borderId="5" xfId="1" applyFont="1" applyFill="1" applyBorder="1"/>
    <xf numFmtId="0" fontId="0" fillId="2" borderId="0" xfId="0" applyFill="1"/>
    <xf numFmtId="0" fontId="10" fillId="2" borderId="0" xfId="0" applyFont="1" applyFill="1" applyAlignment="1">
      <alignment vertical="center"/>
    </xf>
    <xf numFmtId="3" fontId="8" fillId="3" borderId="6" xfId="0" applyNumberFormat="1" applyFont="1" applyFill="1" applyBorder="1" applyAlignment="1" applyProtection="1">
      <alignment horizontal="left"/>
      <protection locked="0"/>
    </xf>
    <xf numFmtId="3" fontId="8" fillId="3" borderId="7" xfId="0" applyNumberFormat="1" applyFont="1" applyFill="1" applyBorder="1" applyAlignment="1" applyProtection="1">
      <alignment horizontal="left"/>
      <protection locked="0"/>
    </xf>
    <xf numFmtId="3" fontId="8" fillId="3" borderId="8" xfId="0" applyNumberFormat="1" applyFont="1" applyFill="1" applyBorder="1" applyAlignment="1" applyProtection="1">
      <alignment horizontal="left"/>
      <protection locked="0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justify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0" fillId="3" borderId="4" xfId="0" applyFill="1" applyBorder="1" applyAlignment="1" applyProtection="1">
      <alignment horizontal="left"/>
      <protection locked="0"/>
    </xf>
    <xf numFmtId="165" fontId="8" fillId="3" borderId="4" xfId="0" applyNumberFormat="1" applyFont="1" applyFill="1" applyBorder="1" applyAlignment="1" applyProtection="1">
      <alignment horizontal="left"/>
      <protection locked="0"/>
    </xf>
    <xf numFmtId="0" fontId="8" fillId="3" borderId="4" xfId="0" applyFont="1" applyFill="1" applyBorder="1" applyAlignment="1" applyProtection="1">
      <alignment horizontal="left"/>
      <protection locked="0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0</xdr:row>
      <xdr:rowOff>85726</xdr:rowOff>
    </xdr:from>
    <xdr:to>
      <xdr:col>0</xdr:col>
      <xdr:colOff>1724026</xdr:colOff>
      <xdr:row>6</xdr:row>
      <xdr:rowOff>57150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6" y="85726"/>
          <a:ext cx="1314450" cy="1171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ascentre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99"/>
  <sheetViews>
    <sheetView tabSelected="1" zoomScaleNormal="100" workbookViewId="0">
      <pane ySplit="17" topLeftCell="A18" activePane="bottomLeft" state="frozen"/>
      <selection pane="bottomLeft" activeCell="B9" sqref="B9:E9"/>
    </sheetView>
  </sheetViews>
  <sheetFormatPr defaultRowHeight="15" x14ac:dyDescent="0.25"/>
  <cols>
    <col min="1" max="1" width="26.5703125" bestFit="1" customWidth="1"/>
    <col min="2" max="2" width="11" customWidth="1"/>
    <col min="3" max="3" width="10.140625" customWidth="1"/>
    <col min="4" max="4" width="7.85546875" customWidth="1"/>
    <col min="5" max="5" width="9.5703125" customWidth="1"/>
    <col min="8" max="8" width="44.5703125" customWidth="1"/>
  </cols>
  <sheetData>
    <row r="1" spans="1:52" ht="15.75" customHeight="1" x14ac:dyDescent="0.25">
      <c r="A1" s="8"/>
      <c r="B1" s="66" t="s">
        <v>32</v>
      </c>
      <c r="C1" s="67"/>
      <c r="D1" s="67"/>
      <c r="E1" s="67"/>
      <c r="F1" s="67"/>
      <c r="G1" s="67"/>
      <c r="H1" s="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</row>
    <row r="2" spans="1:52" ht="15.75" customHeight="1" x14ac:dyDescent="0.25">
      <c r="A2" s="10"/>
      <c r="B2" s="68"/>
      <c r="C2" s="68"/>
      <c r="D2" s="68"/>
      <c r="E2" s="68"/>
      <c r="F2" s="68"/>
      <c r="G2" s="68"/>
      <c r="H2" s="11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</row>
    <row r="3" spans="1:52" ht="15.75" customHeight="1" x14ac:dyDescent="0.25">
      <c r="A3" s="10"/>
      <c r="B3" s="68"/>
      <c r="C3" s="68"/>
      <c r="D3" s="68"/>
      <c r="E3" s="68"/>
      <c r="F3" s="68"/>
      <c r="G3" s="68"/>
      <c r="H3" s="11" t="s">
        <v>37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</row>
    <row r="4" spans="1:52" ht="15.75" customHeight="1" x14ac:dyDescent="0.25">
      <c r="A4" s="10"/>
      <c r="B4" s="68"/>
      <c r="C4" s="68"/>
      <c r="D4" s="68"/>
      <c r="E4" s="68"/>
      <c r="F4" s="68"/>
      <c r="G4" s="68"/>
      <c r="H4" s="56" t="s">
        <v>0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</row>
    <row r="5" spans="1:52" ht="15.75" customHeight="1" x14ac:dyDescent="0.25">
      <c r="A5" s="10"/>
      <c r="B5" s="68"/>
      <c r="C5" s="68"/>
      <c r="D5" s="68"/>
      <c r="E5" s="68"/>
      <c r="F5" s="68"/>
      <c r="G5" s="68"/>
      <c r="H5" s="12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</row>
    <row r="6" spans="1:52" ht="15.75" customHeight="1" x14ac:dyDescent="0.25">
      <c r="A6" s="10"/>
      <c r="B6" s="68"/>
      <c r="C6" s="68"/>
      <c r="D6" s="68"/>
      <c r="E6" s="68"/>
      <c r="F6" s="68"/>
      <c r="G6" s="68"/>
      <c r="H6" s="13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</row>
    <row r="7" spans="1:52" ht="27.75" x14ac:dyDescent="0.25">
      <c r="A7" s="69" t="s">
        <v>11</v>
      </c>
      <c r="B7" s="70"/>
      <c r="C7" s="70"/>
      <c r="D7" s="70"/>
      <c r="E7" s="70"/>
      <c r="F7" s="70"/>
      <c r="G7" s="70"/>
      <c r="H7" s="71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</row>
    <row r="8" spans="1:52" ht="18.75" x14ac:dyDescent="0.3">
      <c r="A8" s="1"/>
      <c r="B8" s="2"/>
      <c r="C8" s="2"/>
      <c r="D8" s="2"/>
      <c r="E8" s="2"/>
      <c r="F8" s="2"/>
      <c r="G8" s="2"/>
      <c r="H8" s="3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</row>
    <row r="9" spans="1:52" x14ac:dyDescent="0.25">
      <c r="A9" s="4" t="s">
        <v>12</v>
      </c>
      <c r="B9" s="76"/>
      <c r="C9" s="76"/>
      <c r="D9" s="76"/>
      <c r="E9" s="76"/>
      <c r="F9" s="5" t="s">
        <v>17</v>
      </c>
      <c r="G9" s="5"/>
      <c r="H9" s="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</row>
    <row r="10" spans="1:52" x14ac:dyDescent="0.25">
      <c r="A10" s="4" t="s">
        <v>13</v>
      </c>
      <c r="B10" s="76"/>
      <c r="C10" s="76"/>
      <c r="D10" s="76"/>
      <c r="E10" s="76"/>
      <c r="F10" s="5" t="s">
        <v>14</v>
      </c>
      <c r="G10" s="5"/>
      <c r="H10" s="6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25">
      <c r="A11" s="4" t="s">
        <v>15</v>
      </c>
      <c r="B11" s="76"/>
      <c r="C11" s="76"/>
      <c r="D11" s="76"/>
      <c r="E11" s="76"/>
      <c r="F11" s="5" t="s">
        <v>35</v>
      </c>
      <c r="G11" s="5"/>
      <c r="H11" s="6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25">
      <c r="A12" s="4" t="s">
        <v>16</v>
      </c>
      <c r="B12" s="76"/>
      <c r="C12" s="76"/>
      <c r="D12" s="76"/>
      <c r="E12" s="76"/>
      <c r="F12" s="5" t="s">
        <v>39</v>
      </c>
      <c r="G12" s="5"/>
      <c r="H12" s="6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25">
      <c r="A13" s="4" t="s">
        <v>18</v>
      </c>
      <c r="B13" s="77">
        <v>43647</v>
      </c>
      <c r="C13" s="78"/>
      <c r="D13" s="78"/>
      <c r="E13" s="78"/>
      <c r="F13" s="7" t="s">
        <v>38</v>
      </c>
      <c r="G13" s="7"/>
      <c r="H13" s="6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</row>
    <row r="14" spans="1:52" x14ac:dyDescent="0.25">
      <c r="A14" s="4" t="s">
        <v>19</v>
      </c>
      <c r="B14" s="59"/>
      <c r="C14" s="60"/>
      <c r="D14" s="60"/>
      <c r="E14" s="61"/>
      <c r="F14" s="7" t="s">
        <v>20</v>
      </c>
      <c r="G14" s="7"/>
      <c r="H14" s="6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</row>
    <row r="15" spans="1:52" x14ac:dyDescent="0.25">
      <c r="A15" s="10"/>
      <c r="B15" s="5"/>
      <c r="C15" s="5"/>
      <c r="D15" s="5"/>
      <c r="E15" s="5"/>
      <c r="F15" s="5"/>
      <c r="G15" s="5"/>
      <c r="H15" s="6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</row>
    <row r="16" spans="1:52" ht="15" customHeight="1" x14ac:dyDescent="0.25">
      <c r="A16" s="72" t="s">
        <v>1</v>
      </c>
      <c r="B16" s="62" t="s">
        <v>2</v>
      </c>
      <c r="C16" s="63"/>
      <c r="D16" s="64"/>
      <c r="E16" s="65" t="s">
        <v>3</v>
      </c>
      <c r="F16" s="63"/>
      <c r="G16" s="64"/>
      <c r="H16" s="74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</row>
    <row r="17" spans="1:52" x14ac:dyDescent="0.25">
      <c r="A17" s="73"/>
      <c r="B17" s="14" t="s">
        <v>4</v>
      </c>
      <c r="C17" s="14" t="s">
        <v>5</v>
      </c>
      <c r="D17" s="14" t="s">
        <v>21</v>
      </c>
      <c r="E17" s="15" t="s">
        <v>6</v>
      </c>
      <c r="F17" s="16" t="s">
        <v>7</v>
      </c>
      <c r="G17" s="17" t="s">
        <v>21</v>
      </c>
      <c r="H17" s="75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</row>
    <row r="18" spans="1:52" x14ac:dyDescent="0.25">
      <c r="A18" s="18">
        <f>B13</f>
        <v>43647</v>
      </c>
      <c r="B18" s="19">
        <f>B14</f>
        <v>0</v>
      </c>
      <c r="C18" s="51"/>
      <c r="D18" s="19">
        <f>C18-B18</f>
        <v>0</v>
      </c>
      <c r="E18" s="51"/>
      <c r="F18" s="51"/>
      <c r="G18" s="19">
        <f>SUM(E18:F18)</f>
        <v>0</v>
      </c>
      <c r="H18" s="52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</row>
    <row r="19" spans="1:52" x14ac:dyDescent="0.25">
      <c r="A19" s="18">
        <f>A18+1</f>
        <v>43648</v>
      </c>
      <c r="B19" s="19">
        <f>C18</f>
        <v>0</v>
      </c>
      <c r="C19" s="51"/>
      <c r="D19" s="19">
        <f>C19-B19</f>
        <v>0</v>
      </c>
      <c r="E19" s="51"/>
      <c r="F19" s="51"/>
      <c r="G19" s="19">
        <f>SUM(E19:F19)</f>
        <v>0</v>
      </c>
      <c r="H19" s="52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</row>
    <row r="20" spans="1:52" x14ac:dyDescent="0.25">
      <c r="A20" s="18">
        <f t="shared" ref="A20:A24" si="0">A19+1</f>
        <v>43649</v>
      </c>
      <c r="B20" s="19">
        <f t="shared" ref="B20:B24" si="1">C19</f>
        <v>0</v>
      </c>
      <c r="C20" s="51"/>
      <c r="D20" s="19">
        <f t="shared" ref="D20:D24" si="2">C20-B20</f>
        <v>0</v>
      </c>
      <c r="E20" s="51"/>
      <c r="F20" s="51"/>
      <c r="G20" s="19">
        <f t="shared" ref="G20:G24" si="3">SUM(E20:F20)</f>
        <v>0</v>
      </c>
      <c r="H20" s="52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</row>
    <row r="21" spans="1:52" x14ac:dyDescent="0.25">
      <c r="A21" s="18">
        <f>A20+1</f>
        <v>43650</v>
      </c>
      <c r="B21" s="19">
        <f t="shared" si="1"/>
        <v>0</v>
      </c>
      <c r="C21" s="51"/>
      <c r="D21" s="19">
        <f t="shared" si="2"/>
        <v>0</v>
      </c>
      <c r="E21" s="51"/>
      <c r="F21" s="51"/>
      <c r="G21" s="19">
        <f t="shared" si="3"/>
        <v>0</v>
      </c>
      <c r="H21" s="52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</row>
    <row r="22" spans="1:52" x14ac:dyDescent="0.25">
      <c r="A22" s="18">
        <f>A21+1</f>
        <v>43651</v>
      </c>
      <c r="B22" s="19">
        <f t="shared" si="1"/>
        <v>0</v>
      </c>
      <c r="C22" s="51"/>
      <c r="D22" s="19">
        <f t="shared" si="2"/>
        <v>0</v>
      </c>
      <c r="E22" s="51"/>
      <c r="F22" s="51"/>
      <c r="G22" s="19">
        <f t="shared" si="3"/>
        <v>0</v>
      </c>
      <c r="H22" s="52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</row>
    <row r="23" spans="1:52" x14ac:dyDescent="0.25">
      <c r="A23" s="18">
        <f t="shared" si="0"/>
        <v>43652</v>
      </c>
      <c r="B23" s="19">
        <f t="shared" si="1"/>
        <v>0</v>
      </c>
      <c r="C23" s="51"/>
      <c r="D23" s="19">
        <f t="shared" si="2"/>
        <v>0</v>
      </c>
      <c r="E23" s="51"/>
      <c r="F23" s="51"/>
      <c r="G23" s="19">
        <f t="shared" si="3"/>
        <v>0</v>
      </c>
      <c r="H23" s="52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</row>
    <row r="24" spans="1:52" x14ac:dyDescent="0.25">
      <c r="A24" s="18">
        <f t="shared" si="0"/>
        <v>43653</v>
      </c>
      <c r="B24" s="19">
        <f t="shared" si="1"/>
        <v>0</v>
      </c>
      <c r="C24" s="51"/>
      <c r="D24" s="19">
        <f t="shared" si="2"/>
        <v>0</v>
      </c>
      <c r="E24" s="51"/>
      <c r="F24" s="51"/>
      <c r="G24" s="19">
        <f t="shared" si="3"/>
        <v>0</v>
      </c>
      <c r="H24" s="52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</row>
    <row r="25" spans="1:52" x14ac:dyDescent="0.25">
      <c r="A25" s="20" t="s">
        <v>22</v>
      </c>
      <c r="B25" s="21"/>
      <c r="C25" s="21"/>
      <c r="D25" s="21"/>
      <c r="E25" s="22">
        <f>SUM(E18:E24)</f>
        <v>0</v>
      </c>
      <c r="F25" s="22">
        <f>SUM(F18:F24)</f>
        <v>0</v>
      </c>
      <c r="G25" s="23"/>
      <c r="H25" s="24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</row>
    <row r="26" spans="1:52" x14ac:dyDescent="0.25">
      <c r="A26" s="25" t="s">
        <v>8</v>
      </c>
      <c r="B26" s="26"/>
      <c r="C26" s="26"/>
      <c r="D26" s="26"/>
      <c r="E26" s="55" t="str">
        <f>IFERROR(E25/(E25+F25),"-")</f>
        <v>-</v>
      </c>
      <c r="F26" s="54" t="str">
        <f>IFERROR(F25/(E25+F25),"-")</f>
        <v>-</v>
      </c>
      <c r="G26" s="33"/>
      <c r="H26" s="34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</row>
    <row r="27" spans="1:52" x14ac:dyDescent="0.25">
      <c r="A27" s="29"/>
      <c r="B27" s="30"/>
      <c r="C27" s="30"/>
      <c r="D27" s="30"/>
      <c r="E27" s="31"/>
      <c r="F27" s="32"/>
      <c r="G27" s="27"/>
      <c r="H27" s="28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</row>
    <row r="28" spans="1:52" x14ac:dyDescent="0.25">
      <c r="A28" s="18">
        <f>A24+1</f>
        <v>43654</v>
      </c>
      <c r="B28" s="19">
        <f>C24</f>
        <v>0</v>
      </c>
      <c r="C28" s="51"/>
      <c r="D28" s="19">
        <f>C28-B28</f>
        <v>0</v>
      </c>
      <c r="E28" s="51"/>
      <c r="F28" s="51"/>
      <c r="G28" s="19">
        <f t="shared" ref="G28:G34" si="4">SUM(E28:F28)</f>
        <v>0</v>
      </c>
      <c r="H28" s="52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</row>
    <row r="29" spans="1:52" x14ac:dyDescent="0.25">
      <c r="A29" s="18">
        <f>A28+1</f>
        <v>43655</v>
      </c>
      <c r="B29" s="19">
        <f>C28</f>
        <v>0</v>
      </c>
      <c r="C29" s="51"/>
      <c r="D29" s="19">
        <f>C29-B29</f>
        <v>0</v>
      </c>
      <c r="E29" s="51"/>
      <c r="F29" s="51"/>
      <c r="G29" s="19">
        <f t="shared" si="4"/>
        <v>0</v>
      </c>
      <c r="H29" s="52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</row>
    <row r="30" spans="1:52" x14ac:dyDescent="0.25">
      <c r="A30" s="18">
        <f t="shared" ref="A30:A33" si="5">A29+1</f>
        <v>43656</v>
      </c>
      <c r="B30" s="19">
        <f t="shared" ref="B30:B34" si="6">C29</f>
        <v>0</v>
      </c>
      <c r="C30" s="51"/>
      <c r="D30" s="19">
        <f t="shared" ref="D30:D34" si="7">C30-B30</f>
        <v>0</v>
      </c>
      <c r="E30" s="51"/>
      <c r="F30" s="51"/>
      <c r="G30" s="19">
        <f t="shared" si="4"/>
        <v>0</v>
      </c>
      <c r="H30" s="52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</row>
    <row r="31" spans="1:52" x14ac:dyDescent="0.25">
      <c r="A31" s="18">
        <f>A30+1</f>
        <v>43657</v>
      </c>
      <c r="B31" s="19">
        <f t="shared" si="6"/>
        <v>0</v>
      </c>
      <c r="C31" s="51"/>
      <c r="D31" s="19">
        <f t="shared" si="7"/>
        <v>0</v>
      </c>
      <c r="E31" s="51"/>
      <c r="F31" s="51"/>
      <c r="G31" s="19">
        <f t="shared" si="4"/>
        <v>0</v>
      </c>
      <c r="H31" s="52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</row>
    <row r="32" spans="1:52" x14ac:dyDescent="0.25">
      <c r="A32" s="18">
        <f>A31+1</f>
        <v>43658</v>
      </c>
      <c r="B32" s="19">
        <f t="shared" si="6"/>
        <v>0</v>
      </c>
      <c r="C32" s="51"/>
      <c r="D32" s="19">
        <f t="shared" si="7"/>
        <v>0</v>
      </c>
      <c r="E32" s="51"/>
      <c r="F32" s="51"/>
      <c r="G32" s="19">
        <f t="shared" si="4"/>
        <v>0</v>
      </c>
      <c r="H32" s="52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</row>
    <row r="33" spans="1:52" x14ac:dyDescent="0.25">
      <c r="A33" s="18">
        <f t="shared" si="5"/>
        <v>43659</v>
      </c>
      <c r="B33" s="19">
        <f t="shared" si="6"/>
        <v>0</v>
      </c>
      <c r="C33" s="51"/>
      <c r="D33" s="19">
        <f t="shared" si="7"/>
        <v>0</v>
      </c>
      <c r="E33" s="51"/>
      <c r="F33" s="51"/>
      <c r="G33" s="19">
        <f t="shared" si="4"/>
        <v>0</v>
      </c>
      <c r="H33" s="52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</row>
    <row r="34" spans="1:52" x14ac:dyDescent="0.25">
      <c r="A34" s="18">
        <f>A33+1</f>
        <v>43660</v>
      </c>
      <c r="B34" s="19">
        <f t="shared" si="6"/>
        <v>0</v>
      </c>
      <c r="C34" s="51"/>
      <c r="D34" s="19">
        <f t="shared" si="7"/>
        <v>0</v>
      </c>
      <c r="E34" s="51"/>
      <c r="F34" s="51"/>
      <c r="G34" s="19">
        <f t="shared" si="4"/>
        <v>0</v>
      </c>
      <c r="H34" s="53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</row>
    <row r="35" spans="1:52" x14ac:dyDescent="0.25">
      <c r="A35" s="35" t="s">
        <v>23</v>
      </c>
      <c r="B35" s="26"/>
      <c r="C35" s="26"/>
      <c r="D35" s="26"/>
      <c r="E35" s="22">
        <f>SUM(E28:E34)</f>
        <v>0</v>
      </c>
      <c r="F35" s="22">
        <f>SUM(F28:F34)</f>
        <v>0</v>
      </c>
      <c r="G35" s="30"/>
      <c r="H35" s="34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</row>
    <row r="36" spans="1:52" x14ac:dyDescent="0.25">
      <c r="A36" s="25" t="s">
        <v>8</v>
      </c>
      <c r="B36" s="26"/>
      <c r="C36" s="26"/>
      <c r="D36" s="26"/>
      <c r="E36" s="55" t="str">
        <f>IFERROR(E35/(E35+F35),"-")</f>
        <v>-</v>
      </c>
      <c r="F36" s="54" t="str">
        <f>IFERROR(F35/(E35+F35),"-")</f>
        <v>-</v>
      </c>
      <c r="G36" s="31"/>
      <c r="H36" s="34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</row>
    <row r="37" spans="1:52" x14ac:dyDescent="0.25">
      <c r="A37" s="29"/>
      <c r="B37" s="30"/>
      <c r="C37" s="30"/>
      <c r="D37" s="30"/>
      <c r="E37" s="31"/>
      <c r="F37" s="32"/>
      <c r="G37" s="33"/>
      <c r="H37" s="28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</row>
    <row r="38" spans="1:52" x14ac:dyDescent="0.25">
      <c r="A38" s="18">
        <f>A34+1</f>
        <v>43661</v>
      </c>
      <c r="B38" s="19">
        <f>C34</f>
        <v>0</v>
      </c>
      <c r="C38" s="51"/>
      <c r="D38" s="19">
        <f>C38-B38</f>
        <v>0</v>
      </c>
      <c r="E38" s="51"/>
      <c r="F38" s="51"/>
      <c r="G38" s="19">
        <f t="shared" ref="G38" si="8">SUM(E38:F38)</f>
        <v>0</v>
      </c>
      <c r="H38" s="52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</row>
    <row r="39" spans="1:52" x14ac:dyDescent="0.25">
      <c r="A39" s="18">
        <f>A38+1</f>
        <v>43662</v>
      </c>
      <c r="B39" s="19">
        <f t="shared" ref="B39:B44" si="9">C38</f>
        <v>0</v>
      </c>
      <c r="C39" s="51"/>
      <c r="D39" s="19">
        <f>C39-B39</f>
        <v>0</v>
      </c>
      <c r="E39" s="51"/>
      <c r="F39" s="51"/>
      <c r="G39" s="19">
        <f t="shared" ref="G39:G44" si="10">SUM(E39:F39)</f>
        <v>0</v>
      </c>
      <c r="H39" s="52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</row>
    <row r="40" spans="1:52" x14ac:dyDescent="0.25">
      <c r="A40" s="18">
        <f t="shared" ref="A40:A44" si="11">A39+1</f>
        <v>43663</v>
      </c>
      <c r="B40" s="19">
        <f t="shared" si="9"/>
        <v>0</v>
      </c>
      <c r="C40" s="51"/>
      <c r="D40" s="19">
        <f t="shared" ref="D40:D44" si="12">C40-B40</f>
        <v>0</v>
      </c>
      <c r="E40" s="51"/>
      <c r="F40" s="51"/>
      <c r="G40" s="19">
        <f t="shared" si="10"/>
        <v>0</v>
      </c>
      <c r="H40" s="52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</row>
    <row r="41" spans="1:52" x14ac:dyDescent="0.25">
      <c r="A41" s="18">
        <f t="shared" si="11"/>
        <v>43664</v>
      </c>
      <c r="B41" s="19">
        <f t="shared" si="9"/>
        <v>0</v>
      </c>
      <c r="C41" s="51"/>
      <c r="D41" s="19">
        <f t="shared" si="12"/>
        <v>0</v>
      </c>
      <c r="E41" s="51"/>
      <c r="F41" s="51"/>
      <c r="G41" s="19">
        <f t="shared" si="10"/>
        <v>0</v>
      </c>
      <c r="H41" s="52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</row>
    <row r="42" spans="1:52" x14ac:dyDescent="0.25">
      <c r="A42" s="18">
        <f t="shared" si="11"/>
        <v>43665</v>
      </c>
      <c r="B42" s="19">
        <f t="shared" si="9"/>
        <v>0</v>
      </c>
      <c r="C42" s="51"/>
      <c r="D42" s="19">
        <f t="shared" si="12"/>
        <v>0</v>
      </c>
      <c r="E42" s="51"/>
      <c r="F42" s="51"/>
      <c r="G42" s="19">
        <f t="shared" si="10"/>
        <v>0</v>
      </c>
      <c r="H42" s="52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</row>
    <row r="43" spans="1:52" x14ac:dyDescent="0.25">
      <c r="A43" s="18">
        <f>A42+1</f>
        <v>43666</v>
      </c>
      <c r="B43" s="19">
        <f t="shared" si="9"/>
        <v>0</v>
      </c>
      <c r="C43" s="51"/>
      <c r="D43" s="19">
        <f t="shared" si="12"/>
        <v>0</v>
      </c>
      <c r="E43" s="51"/>
      <c r="F43" s="51"/>
      <c r="G43" s="19">
        <f t="shared" si="10"/>
        <v>0</v>
      </c>
      <c r="H43" s="52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</row>
    <row r="44" spans="1:52" x14ac:dyDescent="0.25">
      <c r="A44" s="18">
        <f t="shared" si="11"/>
        <v>43667</v>
      </c>
      <c r="B44" s="19">
        <f t="shared" si="9"/>
        <v>0</v>
      </c>
      <c r="C44" s="51"/>
      <c r="D44" s="19">
        <f t="shared" si="12"/>
        <v>0</v>
      </c>
      <c r="E44" s="51"/>
      <c r="F44" s="51"/>
      <c r="G44" s="19">
        <f t="shared" si="10"/>
        <v>0</v>
      </c>
      <c r="H44" s="52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</row>
    <row r="45" spans="1:52" x14ac:dyDescent="0.25">
      <c r="A45" s="35" t="s">
        <v>24</v>
      </c>
      <c r="B45" s="26"/>
      <c r="C45" s="26"/>
      <c r="D45" s="26"/>
      <c r="E45" s="22">
        <f>SUM(E38:E44)</f>
        <v>0</v>
      </c>
      <c r="F45" s="22">
        <f>SUM(F38:F44)</f>
        <v>0</v>
      </c>
      <c r="G45" s="30"/>
      <c r="H45" s="34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</row>
    <row r="46" spans="1:52" x14ac:dyDescent="0.25">
      <c r="A46" s="25" t="s">
        <v>8</v>
      </c>
      <c r="B46" s="26"/>
      <c r="C46" s="26"/>
      <c r="D46" s="26"/>
      <c r="E46" s="55" t="str">
        <f>IFERROR(E45/(E45+F45),"-")</f>
        <v>-</v>
      </c>
      <c r="F46" s="54" t="str">
        <f>IFERROR(F45/(E45+F45),"-")</f>
        <v>-</v>
      </c>
      <c r="G46" s="33"/>
      <c r="H46" s="34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</row>
    <row r="47" spans="1:52" x14ac:dyDescent="0.25">
      <c r="A47" s="29"/>
      <c r="B47" s="30"/>
      <c r="C47" s="30"/>
      <c r="D47" s="30"/>
      <c r="E47" s="31"/>
      <c r="F47" s="32"/>
      <c r="G47" s="27"/>
      <c r="H47" s="28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</row>
    <row r="48" spans="1:52" x14ac:dyDescent="0.25">
      <c r="A48" s="18">
        <f>A44+1</f>
        <v>43668</v>
      </c>
      <c r="B48" s="19">
        <f>C44</f>
        <v>0</v>
      </c>
      <c r="C48" s="51"/>
      <c r="D48" s="19">
        <f>C48-B48</f>
        <v>0</v>
      </c>
      <c r="E48" s="51"/>
      <c r="F48" s="51"/>
      <c r="G48" s="19">
        <f t="shared" ref="G48" si="13">SUM(E48:F48)</f>
        <v>0</v>
      </c>
      <c r="H48" s="52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</row>
    <row r="49" spans="1:52" x14ac:dyDescent="0.25">
      <c r="A49" s="18">
        <f>A48+1</f>
        <v>43669</v>
      </c>
      <c r="B49" s="19">
        <f t="shared" ref="B49:B54" si="14">C48</f>
        <v>0</v>
      </c>
      <c r="C49" s="51"/>
      <c r="D49" s="19">
        <f>C49-B49</f>
        <v>0</v>
      </c>
      <c r="E49" s="51"/>
      <c r="F49" s="51"/>
      <c r="G49" s="19">
        <f t="shared" ref="G49:G54" si="15">SUM(E49:F49)</f>
        <v>0</v>
      </c>
      <c r="H49" s="52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</row>
    <row r="50" spans="1:52" x14ac:dyDescent="0.25">
      <c r="A50" s="18">
        <f t="shared" ref="A50:A54" si="16">A49+1</f>
        <v>43670</v>
      </c>
      <c r="B50" s="19">
        <f t="shared" si="14"/>
        <v>0</v>
      </c>
      <c r="C50" s="51"/>
      <c r="D50" s="19">
        <f t="shared" ref="D50:D54" si="17">C50-B50</f>
        <v>0</v>
      </c>
      <c r="E50" s="51"/>
      <c r="F50" s="51"/>
      <c r="G50" s="19">
        <f t="shared" si="15"/>
        <v>0</v>
      </c>
      <c r="H50" s="52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</row>
    <row r="51" spans="1:52" x14ac:dyDescent="0.25">
      <c r="A51" s="18">
        <f t="shared" si="16"/>
        <v>43671</v>
      </c>
      <c r="B51" s="19">
        <f t="shared" si="14"/>
        <v>0</v>
      </c>
      <c r="C51" s="51"/>
      <c r="D51" s="19">
        <f t="shared" si="17"/>
        <v>0</v>
      </c>
      <c r="E51" s="51"/>
      <c r="F51" s="51"/>
      <c r="G51" s="19">
        <f t="shared" si="15"/>
        <v>0</v>
      </c>
      <c r="H51" s="52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</row>
    <row r="52" spans="1:52" x14ac:dyDescent="0.25">
      <c r="A52" s="18">
        <f t="shared" si="16"/>
        <v>43672</v>
      </c>
      <c r="B52" s="19">
        <f t="shared" si="14"/>
        <v>0</v>
      </c>
      <c r="C52" s="51"/>
      <c r="D52" s="19">
        <f t="shared" si="17"/>
        <v>0</v>
      </c>
      <c r="E52" s="51"/>
      <c r="F52" s="51"/>
      <c r="G52" s="19">
        <f t="shared" si="15"/>
        <v>0</v>
      </c>
      <c r="H52" s="52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</row>
    <row r="53" spans="1:52" x14ac:dyDescent="0.25">
      <c r="A53" s="18">
        <f>A52+1</f>
        <v>43673</v>
      </c>
      <c r="B53" s="19">
        <f t="shared" si="14"/>
        <v>0</v>
      </c>
      <c r="C53" s="51"/>
      <c r="D53" s="19">
        <f t="shared" si="17"/>
        <v>0</v>
      </c>
      <c r="E53" s="51"/>
      <c r="F53" s="51"/>
      <c r="G53" s="19">
        <f t="shared" si="15"/>
        <v>0</v>
      </c>
      <c r="H53" s="52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</row>
    <row r="54" spans="1:52" x14ac:dyDescent="0.25">
      <c r="A54" s="18">
        <f t="shared" si="16"/>
        <v>43674</v>
      </c>
      <c r="B54" s="19">
        <f t="shared" si="14"/>
        <v>0</v>
      </c>
      <c r="C54" s="51"/>
      <c r="D54" s="19">
        <f t="shared" si="17"/>
        <v>0</v>
      </c>
      <c r="E54" s="51"/>
      <c r="F54" s="51"/>
      <c r="G54" s="19">
        <f t="shared" si="15"/>
        <v>0</v>
      </c>
      <c r="H54" s="52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</row>
    <row r="55" spans="1:52" x14ac:dyDescent="0.25">
      <c r="A55" s="20" t="s">
        <v>25</v>
      </c>
      <c r="B55" s="21"/>
      <c r="C55" s="21"/>
      <c r="D55" s="21"/>
      <c r="E55" s="22">
        <f>SUM(E48:E54)</f>
        <v>0</v>
      </c>
      <c r="F55" s="22">
        <f>SUM(F48:F54)</f>
        <v>0</v>
      </c>
      <c r="G55" s="30"/>
      <c r="H55" s="34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</row>
    <row r="56" spans="1:52" x14ac:dyDescent="0.25">
      <c r="A56" s="25" t="s">
        <v>8</v>
      </c>
      <c r="B56" s="26"/>
      <c r="C56" s="26"/>
      <c r="D56" s="26"/>
      <c r="E56" s="55" t="str">
        <f>IFERROR(E55/(E55+F55),"-")</f>
        <v>-</v>
      </c>
      <c r="F56" s="54" t="str">
        <f>IFERROR(F55/(E55+F55),"-")</f>
        <v>-</v>
      </c>
      <c r="G56" s="33"/>
      <c r="H56" s="34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</row>
    <row r="57" spans="1:52" x14ac:dyDescent="0.25">
      <c r="A57" s="29"/>
      <c r="B57" s="30"/>
      <c r="C57" s="30"/>
      <c r="D57" s="30"/>
      <c r="E57" s="31"/>
      <c r="F57" s="32"/>
      <c r="G57" s="27"/>
      <c r="H57" s="28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</row>
    <row r="58" spans="1:52" x14ac:dyDescent="0.25">
      <c r="A58" s="18">
        <f>A54+1</f>
        <v>43675</v>
      </c>
      <c r="B58" s="19">
        <f>C54</f>
        <v>0</v>
      </c>
      <c r="C58" s="51"/>
      <c r="D58" s="19">
        <f>C58-B58</f>
        <v>0</v>
      </c>
      <c r="E58" s="51"/>
      <c r="F58" s="51"/>
      <c r="G58" s="19">
        <f t="shared" ref="G58" si="18">SUM(E58:F58)</f>
        <v>0</v>
      </c>
      <c r="H58" s="52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</row>
    <row r="59" spans="1:52" x14ac:dyDescent="0.25">
      <c r="A59" s="18">
        <f>A58+1</f>
        <v>43676</v>
      </c>
      <c r="B59" s="19">
        <f t="shared" ref="B59:B64" si="19">C58</f>
        <v>0</v>
      </c>
      <c r="C59" s="51"/>
      <c r="D59" s="19">
        <f>C59-B59</f>
        <v>0</v>
      </c>
      <c r="E59" s="51"/>
      <c r="F59" s="51"/>
      <c r="G59" s="19">
        <f t="shared" ref="G59:G64" si="20">SUM(E59:F59)</f>
        <v>0</v>
      </c>
      <c r="H59" s="52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</row>
    <row r="60" spans="1:52" x14ac:dyDescent="0.25">
      <c r="A60" s="18">
        <f t="shared" ref="A60:A64" si="21">A59+1</f>
        <v>43677</v>
      </c>
      <c r="B60" s="19">
        <f t="shared" si="19"/>
        <v>0</v>
      </c>
      <c r="C60" s="51"/>
      <c r="D60" s="19">
        <f t="shared" ref="D60:D64" si="22">C60-B60</f>
        <v>0</v>
      </c>
      <c r="E60" s="51"/>
      <c r="F60" s="51"/>
      <c r="G60" s="19">
        <f t="shared" si="20"/>
        <v>0</v>
      </c>
      <c r="H60" s="52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</row>
    <row r="61" spans="1:52" x14ac:dyDescent="0.25">
      <c r="A61" s="18">
        <f t="shared" si="21"/>
        <v>43678</v>
      </c>
      <c r="B61" s="19">
        <f t="shared" si="19"/>
        <v>0</v>
      </c>
      <c r="C61" s="51"/>
      <c r="D61" s="19">
        <f t="shared" si="22"/>
        <v>0</v>
      </c>
      <c r="E61" s="51"/>
      <c r="F61" s="51"/>
      <c r="G61" s="19">
        <f t="shared" si="20"/>
        <v>0</v>
      </c>
      <c r="H61" s="52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</row>
    <row r="62" spans="1:52" x14ac:dyDescent="0.25">
      <c r="A62" s="18">
        <f t="shared" si="21"/>
        <v>43679</v>
      </c>
      <c r="B62" s="19">
        <f t="shared" si="19"/>
        <v>0</v>
      </c>
      <c r="C62" s="51"/>
      <c r="D62" s="19">
        <f t="shared" si="22"/>
        <v>0</v>
      </c>
      <c r="E62" s="51"/>
      <c r="F62" s="51"/>
      <c r="G62" s="19">
        <f t="shared" si="20"/>
        <v>0</v>
      </c>
      <c r="H62" s="52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</row>
    <row r="63" spans="1:52" x14ac:dyDescent="0.25">
      <c r="A63" s="18">
        <f t="shared" si="21"/>
        <v>43680</v>
      </c>
      <c r="B63" s="19">
        <f t="shared" si="19"/>
        <v>0</v>
      </c>
      <c r="C63" s="51"/>
      <c r="D63" s="19">
        <f t="shared" si="22"/>
        <v>0</v>
      </c>
      <c r="E63" s="51"/>
      <c r="F63" s="51"/>
      <c r="G63" s="19">
        <f t="shared" si="20"/>
        <v>0</v>
      </c>
      <c r="H63" s="52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</row>
    <row r="64" spans="1:52" x14ac:dyDescent="0.25">
      <c r="A64" s="18">
        <f t="shared" si="21"/>
        <v>43681</v>
      </c>
      <c r="B64" s="19">
        <f t="shared" si="19"/>
        <v>0</v>
      </c>
      <c r="C64" s="51"/>
      <c r="D64" s="19">
        <f t="shared" si="22"/>
        <v>0</v>
      </c>
      <c r="E64" s="51"/>
      <c r="F64" s="51"/>
      <c r="G64" s="19">
        <f t="shared" si="20"/>
        <v>0</v>
      </c>
      <c r="H64" s="52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</row>
    <row r="65" spans="1:52" x14ac:dyDescent="0.25">
      <c r="A65" s="36" t="s">
        <v>26</v>
      </c>
      <c r="B65" s="30"/>
      <c r="C65" s="30"/>
      <c r="D65" s="30"/>
      <c r="E65" s="22">
        <f>SUM(E58:E64)</f>
        <v>0</v>
      </c>
      <c r="F65" s="22">
        <f>SUM(F58:F64)</f>
        <v>0</v>
      </c>
      <c r="G65" s="30"/>
      <c r="H65" s="34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</row>
    <row r="66" spans="1:52" x14ac:dyDescent="0.25">
      <c r="A66" s="29" t="s">
        <v>8</v>
      </c>
      <c r="B66" s="30"/>
      <c r="C66" s="30"/>
      <c r="D66" s="30"/>
      <c r="E66" s="55" t="str">
        <f>IFERROR(E65/(E65+F65),"-")</f>
        <v>-</v>
      </c>
      <c r="F66" s="54" t="str">
        <f>IFERROR(F65/(E65+F65),"-")</f>
        <v>-</v>
      </c>
      <c r="G66" s="31"/>
      <c r="H66" s="34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</row>
    <row r="67" spans="1:52" x14ac:dyDescent="0.25">
      <c r="A67" s="44"/>
      <c r="B67" s="21"/>
      <c r="C67" s="21"/>
      <c r="D67" s="21"/>
      <c r="E67" s="50"/>
      <c r="F67" s="37"/>
      <c r="G67" s="27"/>
      <c r="H67" s="28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</row>
    <row r="68" spans="1:52" x14ac:dyDescent="0.25">
      <c r="A68" s="18">
        <f>A64+1</f>
        <v>43682</v>
      </c>
      <c r="B68" s="19">
        <f>C64</f>
        <v>0</v>
      </c>
      <c r="C68" s="51"/>
      <c r="D68" s="19">
        <f>C68-B68</f>
        <v>0</v>
      </c>
      <c r="E68" s="51"/>
      <c r="F68" s="51"/>
      <c r="G68" s="19">
        <f t="shared" ref="G68" si="23">SUM(E68:F68)</f>
        <v>0</v>
      </c>
      <c r="H68" s="52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</row>
    <row r="69" spans="1:52" x14ac:dyDescent="0.25">
      <c r="A69" s="18">
        <f>A68+1</f>
        <v>43683</v>
      </c>
      <c r="B69" s="19">
        <f t="shared" ref="B69:B74" si="24">C68</f>
        <v>0</v>
      </c>
      <c r="C69" s="51"/>
      <c r="D69" s="19">
        <f>C69-B69</f>
        <v>0</v>
      </c>
      <c r="E69" s="51"/>
      <c r="F69" s="51"/>
      <c r="G69" s="19">
        <f t="shared" ref="G69:G74" si="25">SUM(E69:F69)</f>
        <v>0</v>
      </c>
      <c r="H69" s="52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</row>
    <row r="70" spans="1:52" x14ac:dyDescent="0.25">
      <c r="A70" s="18">
        <f t="shared" ref="A70:A72" si="26">A69+1</f>
        <v>43684</v>
      </c>
      <c r="B70" s="19">
        <f t="shared" si="24"/>
        <v>0</v>
      </c>
      <c r="C70" s="51"/>
      <c r="D70" s="19">
        <f t="shared" ref="D70:D74" si="27">C70-B70</f>
        <v>0</v>
      </c>
      <c r="E70" s="51"/>
      <c r="F70" s="51"/>
      <c r="G70" s="19">
        <f t="shared" si="25"/>
        <v>0</v>
      </c>
      <c r="H70" s="52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</row>
    <row r="71" spans="1:52" x14ac:dyDescent="0.25">
      <c r="A71" s="18">
        <f t="shared" si="26"/>
        <v>43685</v>
      </c>
      <c r="B71" s="19">
        <f t="shared" si="24"/>
        <v>0</v>
      </c>
      <c r="C71" s="51"/>
      <c r="D71" s="19">
        <f t="shared" si="27"/>
        <v>0</v>
      </c>
      <c r="E71" s="51"/>
      <c r="F71" s="51"/>
      <c r="G71" s="19">
        <f t="shared" si="25"/>
        <v>0</v>
      </c>
      <c r="H71" s="52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</row>
    <row r="72" spans="1:52" x14ac:dyDescent="0.25">
      <c r="A72" s="18">
        <f t="shared" si="26"/>
        <v>43686</v>
      </c>
      <c r="B72" s="19">
        <f t="shared" si="24"/>
        <v>0</v>
      </c>
      <c r="C72" s="51"/>
      <c r="D72" s="19">
        <f t="shared" si="27"/>
        <v>0</v>
      </c>
      <c r="E72" s="51"/>
      <c r="F72" s="51"/>
      <c r="G72" s="19">
        <f t="shared" si="25"/>
        <v>0</v>
      </c>
      <c r="H72" s="52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</row>
    <row r="73" spans="1:52" x14ac:dyDescent="0.25">
      <c r="A73" s="18">
        <f>A72+1</f>
        <v>43687</v>
      </c>
      <c r="B73" s="19">
        <f t="shared" si="24"/>
        <v>0</v>
      </c>
      <c r="C73" s="51"/>
      <c r="D73" s="19">
        <f t="shared" si="27"/>
        <v>0</v>
      </c>
      <c r="E73" s="51"/>
      <c r="F73" s="51"/>
      <c r="G73" s="19">
        <f t="shared" si="25"/>
        <v>0</v>
      </c>
      <c r="H73" s="52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</row>
    <row r="74" spans="1:52" x14ac:dyDescent="0.25">
      <c r="A74" s="18">
        <f>A73+1</f>
        <v>43688</v>
      </c>
      <c r="B74" s="19">
        <f t="shared" si="24"/>
        <v>0</v>
      </c>
      <c r="C74" s="51"/>
      <c r="D74" s="19">
        <f t="shared" si="27"/>
        <v>0</v>
      </c>
      <c r="E74" s="51"/>
      <c r="F74" s="51"/>
      <c r="G74" s="19">
        <f t="shared" si="25"/>
        <v>0</v>
      </c>
      <c r="H74" s="52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</row>
    <row r="75" spans="1:52" x14ac:dyDescent="0.25">
      <c r="A75" s="20" t="s">
        <v>27</v>
      </c>
      <c r="B75" s="21"/>
      <c r="C75" s="21"/>
      <c r="D75" s="21"/>
      <c r="E75" s="22">
        <f>SUM(E68:E74)</f>
        <v>0</v>
      </c>
      <c r="F75" s="22">
        <f>SUM(F68:F74)</f>
        <v>0</v>
      </c>
      <c r="G75" s="30"/>
      <c r="H75" s="34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</row>
    <row r="76" spans="1:52" x14ac:dyDescent="0.25">
      <c r="A76" s="29" t="s">
        <v>8</v>
      </c>
      <c r="B76" s="30"/>
      <c r="C76" s="30"/>
      <c r="D76" s="30"/>
      <c r="E76" s="55" t="str">
        <f>IFERROR(E75/(E75+F75),"-")</f>
        <v>-</v>
      </c>
      <c r="F76" s="54" t="str">
        <f>IFERROR(F75/(E75+F75),"-")</f>
        <v>-</v>
      </c>
      <c r="G76" s="33"/>
      <c r="H76" s="34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</row>
    <row r="77" spans="1:52" x14ac:dyDescent="0.25">
      <c r="A77" s="38"/>
      <c r="B77" s="23"/>
      <c r="C77" s="23"/>
      <c r="D77" s="23"/>
      <c r="E77" s="39"/>
      <c r="F77" s="40"/>
      <c r="G77" s="27"/>
      <c r="H77" s="28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</row>
    <row r="78" spans="1:52" x14ac:dyDescent="0.25">
      <c r="A78" s="18">
        <f>A74+1</f>
        <v>43689</v>
      </c>
      <c r="B78" s="19">
        <f>C74</f>
        <v>0</v>
      </c>
      <c r="C78" s="51"/>
      <c r="D78" s="19">
        <f>C78-B78</f>
        <v>0</v>
      </c>
      <c r="E78" s="51"/>
      <c r="F78" s="51"/>
      <c r="G78" s="19">
        <f t="shared" ref="G78" si="28">SUM(E78:F78)</f>
        <v>0</v>
      </c>
      <c r="H78" s="52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</row>
    <row r="79" spans="1:52" x14ac:dyDescent="0.25">
      <c r="A79" s="18">
        <f>A78+1</f>
        <v>43690</v>
      </c>
      <c r="B79" s="19">
        <f t="shared" ref="B79:B84" si="29">C78</f>
        <v>0</v>
      </c>
      <c r="C79" s="51"/>
      <c r="D79" s="19">
        <f>C79-B79</f>
        <v>0</v>
      </c>
      <c r="E79" s="51"/>
      <c r="F79" s="51"/>
      <c r="G79" s="19">
        <f t="shared" ref="G79:G84" si="30">SUM(E79:F79)</f>
        <v>0</v>
      </c>
      <c r="H79" s="52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</row>
    <row r="80" spans="1:52" x14ac:dyDescent="0.25">
      <c r="A80" s="18">
        <f t="shared" ref="A80:A83" si="31">A79+1</f>
        <v>43691</v>
      </c>
      <c r="B80" s="19">
        <f t="shared" si="29"/>
        <v>0</v>
      </c>
      <c r="C80" s="51"/>
      <c r="D80" s="19">
        <f t="shared" ref="D80:D84" si="32">C80-B80</f>
        <v>0</v>
      </c>
      <c r="E80" s="51"/>
      <c r="F80" s="51"/>
      <c r="G80" s="19">
        <f t="shared" si="30"/>
        <v>0</v>
      </c>
      <c r="H80" s="52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</row>
    <row r="81" spans="1:52" x14ac:dyDescent="0.25">
      <c r="A81" s="18">
        <f t="shared" si="31"/>
        <v>43692</v>
      </c>
      <c r="B81" s="19">
        <f t="shared" si="29"/>
        <v>0</v>
      </c>
      <c r="C81" s="51"/>
      <c r="D81" s="19">
        <f t="shared" si="32"/>
        <v>0</v>
      </c>
      <c r="E81" s="51"/>
      <c r="F81" s="51"/>
      <c r="G81" s="19">
        <f t="shared" si="30"/>
        <v>0</v>
      </c>
      <c r="H81" s="52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</row>
    <row r="82" spans="1:52" x14ac:dyDescent="0.25">
      <c r="A82" s="18">
        <f t="shared" si="31"/>
        <v>43693</v>
      </c>
      <c r="B82" s="19">
        <f t="shared" si="29"/>
        <v>0</v>
      </c>
      <c r="C82" s="51"/>
      <c r="D82" s="19">
        <f t="shared" si="32"/>
        <v>0</v>
      </c>
      <c r="E82" s="51"/>
      <c r="F82" s="51"/>
      <c r="G82" s="19">
        <f t="shared" si="30"/>
        <v>0</v>
      </c>
      <c r="H82" s="52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</row>
    <row r="83" spans="1:52" x14ac:dyDescent="0.25">
      <c r="A83" s="18">
        <f t="shared" si="31"/>
        <v>43694</v>
      </c>
      <c r="B83" s="19">
        <f t="shared" si="29"/>
        <v>0</v>
      </c>
      <c r="C83" s="51"/>
      <c r="D83" s="19">
        <f t="shared" si="32"/>
        <v>0</v>
      </c>
      <c r="E83" s="51"/>
      <c r="F83" s="51"/>
      <c r="G83" s="19">
        <f t="shared" si="30"/>
        <v>0</v>
      </c>
      <c r="H83" s="52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</row>
    <row r="84" spans="1:52" x14ac:dyDescent="0.25">
      <c r="A84" s="18">
        <f>A83+1</f>
        <v>43695</v>
      </c>
      <c r="B84" s="19">
        <f t="shared" si="29"/>
        <v>0</v>
      </c>
      <c r="C84" s="51"/>
      <c r="D84" s="19">
        <f t="shared" si="32"/>
        <v>0</v>
      </c>
      <c r="E84" s="51"/>
      <c r="F84" s="51"/>
      <c r="G84" s="19">
        <f t="shared" si="30"/>
        <v>0</v>
      </c>
      <c r="H84" s="52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</row>
    <row r="85" spans="1:52" x14ac:dyDescent="0.25">
      <c r="A85" s="20" t="s">
        <v>28</v>
      </c>
      <c r="B85" s="41"/>
      <c r="C85" s="21"/>
      <c r="D85" s="21"/>
      <c r="E85" s="22">
        <f>SUM(E78:E84)</f>
        <v>0</v>
      </c>
      <c r="F85" s="22">
        <f>SUM(F78:F84)</f>
        <v>0</v>
      </c>
      <c r="G85" s="30"/>
      <c r="H85" s="42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</row>
    <row r="86" spans="1:52" x14ac:dyDescent="0.25">
      <c r="A86" s="29" t="s">
        <v>8</v>
      </c>
      <c r="B86" s="30"/>
      <c r="C86" s="30"/>
      <c r="D86" s="30"/>
      <c r="E86" s="55" t="str">
        <f>IFERROR(E85/(E85+F85),"-")</f>
        <v>-</v>
      </c>
      <c r="F86" s="54" t="str">
        <f>IFERROR(F85/(E85+F85),"-")</f>
        <v>-</v>
      </c>
      <c r="G86" s="31"/>
      <c r="H86" s="34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</row>
    <row r="87" spans="1:52" x14ac:dyDescent="0.25">
      <c r="A87" s="38"/>
      <c r="B87" s="23"/>
      <c r="C87" s="23"/>
      <c r="D87" s="23"/>
      <c r="E87" s="39"/>
      <c r="F87" s="40"/>
      <c r="G87" s="33"/>
      <c r="H87" s="28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</row>
    <row r="88" spans="1:52" x14ac:dyDescent="0.25">
      <c r="A88" s="18">
        <f>A84+1</f>
        <v>43696</v>
      </c>
      <c r="B88" s="19">
        <f>C84</f>
        <v>0</v>
      </c>
      <c r="C88" s="51"/>
      <c r="D88" s="19">
        <f>C88-B88</f>
        <v>0</v>
      </c>
      <c r="E88" s="51"/>
      <c r="F88" s="51"/>
      <c r="G88" s="19">
        <f t="shared" ref="G88" si="33">SUM(E88:F88)</f>
        <v>0</v>
      </c>
      <c r="H88" s="52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</row>
    <row r="89" spans="1:52" x14ac:dyDescent="0.25">
      <c r="A89" s="18">
        <f>A88+1</f>
        <v>43697</v>
      </c>
      <c r="B89" s="19">
        <f t="shared" ref="B89:B94" si="34">C88</f>
        <v>0</v>
      </c>
      <c r="C89" s="51"/>
      <c r="D89" s="19">
        <f>C89-B89</f>
        <v>0</v>
      </c>
      <c r="E89" s="51"/>
      <c r="F89" s="51"/>
      <c r="G89" s="19">
        <f t="shared" ref="G89:G94" si="35">SUM(E89:F89)</f>
        <v>0</v>
      </c>
      <c r="H89" s="52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</row>
    <row r="90" spans="1:52" x14ac:dyDescent="0.25">
      <c r="A90" s="18">
        <f t="shared" ref="A90:A94" si="36">A89+1</f>
        <v>43698</v>
      </c>
      <c r="B90" s="19">
        <f t="shared" si="34"/>
        <v>0</v>
      </c>
      <c r="C90" s="51"/>
      <c r="D90" s="19">
        <f t="shared" ref="D90:D94" si="37">C90-B90</f>
        <v>0</v>
      </c>
      <c r="E90" s="51"/>
      <c r="F90" s="51"/>
      <c r="G90" s="19">
        <f t="shared" si="35"/>
        <v>0</v>
      </c>
      <c r="H90" s="52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</row>
    <row r="91" spans="1:52" x14ac:dyDescent="0.25">
      <c r="A91" s="18">
        <f t="shared" si="36"/>
        <v>43699</v>
      </c>
      <c r="B91" s="19">
        <f t="shared" si="34"/>
        <v>0</v>
      </c>
      <c r="C91" s="51"/>
      <c r="D91" s="19">
        <f t="shared" si="37"/>
        <v>0</v>
      </c>
      <c r="E91" s="51"/>
      <c r="F91" s="51"/>
      <c r="G91" s="19">
        <f t="shared" si="35"/>
        <v>0</v>
      </c>
      <c r="H91" s="52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</row>
    <row r="92" spans="1:52" x14ac:dyDescent="0.25">
      <c r="A92" s="18">
        <f t="shared" si="36"/>
        <v>43700</v>
      </c>
      <c r="B92" s="19">
        <f t="shared" si="34"/>
        <v>0</v>
      </c>
      <c r="C92" s="51"/>
      <c r="D92" s="19">
        <f t="shared" si="37"/>
        <v>0</v>
      </c>
      <c r="E92" s="51"/>
      <c r="F92" s="51"/>
      <c r="G92" s="19">
        <f t="shared" si="35"/>
        <v>0</v>
      </c>
      <c r="H92" s="52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</row>
    <row r="93" spans="1:52" x14ac:dyDescent="0.25">
      <c r="A93" s="18">
        <f t="shared" si="36"/>
        <v>43701</v>
      </c>
      <c r="B93" s="19">
        <f t="shared" si="34"/>
        <v>0</v>
      </c>
      <c r="C93" s="51"/>
      <c r="D93" s="19">
        <f t="shared" si="37"/>
        <v>0</v>
      </c>
      <c r="E93" s="51"/>
      <c r="F93" s="51"/>
      <c r="G93" s="19">
        <f t="shared" si="35"/>
        <v>0</v>
      </c>
      <c r="H93" s="52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</row>
    <row r="94" spans="1:52" x14ac:dyDescent="0.25">
      <c r="A94" s="18">
        <f t="shared" si="36"/>
        <v>43702</v>
      </c>
      <c r="B94" s="19">
        <f t="shared" si="34"/>
        <v>0</v>
      </c>
      <c r="C94" s="51"/>
      <c r="D94" s="19">
        <f t="shared" si="37"/>
        <v>0</v>
      </c>
      <c r="E94" s="51"/>
      <c r="F94" s="51"/>
      <c r="G94" s="19">
        <f t="shared" si="35"/>
        <v>0</v>
      </c>
      <c r="H94" s="52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</row>
    <row r="95" spans="1:52" x14ac:dyDescent="0.25">
      <c r="A95" s="20" t="s">
        <v>29</v>
      </c>
      <c r="B95" s="41"/>
      <c r="C95" s="21"/>
      <c r="D95" s="21"/>
      <c r="E95" s="41">
        <f>SUM(E88:E94)</f>
        <v>0</v>
      </c>
      <c r="F95" s="22">
        <f>SUM(F88:F94)</f>
        <v>0</v>
      </c>
      <c r="G95" s="30"/>
      <c r="H95" s="34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</row>
    <row r="96" spans="1:52" x14ac:dyDescent="0.25">
      <c r="A96" s="29" t="s">
        <v>8</v>
      </c>
      <c r="B96" s="30"/>
      <c r="C96" s="30"/>
      <c r="D96" s="30"/>
      <c r="E96" s="55" t="str">
        <f>IFERROR(E95/(E95+F95),"-")</f>
        <v>-</v>
      </c>
      <c r="F96" s="54" t="str">
        <f>IFERROR(F95/(E95+F95),"-")</f>
        <v>-</v>
      </c>
      <c r="G96" s="33"/>
      <c r="H96" s="34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</row>
    <row r="97" spans="1:52" x14ac:dyDescent="0.25">
      <c r="A97" s="38"/>
      <c r="B97" s="23"/>
      <c r="C97" s="23"/>
      <c r="D97" s="23"/>
      <c r="E97" s="39"/>
      <c r="F97" s="40"/>
      <c r="G97" s="27"/>
      <c r="H97" s="28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</row>
    <row r="98" spans="1:52" x14ac:dyDescent="0.25">
      <c r="A98" s="18">
        <f>A94+1</f>
        <v>43703</v>
      </c>
      <c r="B98" s="19">
        <f>C94</f>
        <v>0</v>
      </c>
      <c r="C98" s="51"/>
      <c r="D98" s="19">
        <f>C98-B98</f>
        <v>0</v>
      </c>
      <c r="E98" s="51"/>
      <c r="F98" s="51"/>
      <c r="G98" s="19">
        <f t="shared" ref="G98" si="38">SUM(E98:F98)</f>
        <v>0</v>
      </c>
      <c r="H98" s="52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</row>
    <row r="99" spans="1:52" x14ac:dyDescent="0.25">
      <c r="A99" s="18">
        <f>A98+1</f>
        <v>43704</v>
      </c>
      <c r="B99" s="19">
        <f t="shared" ref="B99:B104" si="39">C98</f>
        <v>0</v>
      </c>
      <c r="C99" s="51"/>
      <c r="D99" s="19">
        <f>C99-B99</f>
        <v>0</v>
      </c>
      <c r="E99" s="51"/>
      <c r="F99" s="51"/>
      <c r="G99" s="19">
        <f t="shared" ref="G99:G104" si="40">SUM(E99:F99)</f>
        <v>0</v>
      </c>
      <c r="H99" s="52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</row>
    <row r="100" spans="1:52" x14ac:dyDescent="0.25">
      <c r="A100" s="18">
        <f t="shared" ref="A100:A104" si="41">A99+1</f>
        <v>43705</v>
      </c>
      <c r="B100" s="19">
        <f t="shared" si="39"/>
        <v>0</v>
      </c>
      <c r="C100" s="51"/>
      <c r="D100" s="19">
        <f t="shared" ref="D100:D104" si="42">C100-B100</f>
        <v>0</v>
      </c>
      <c r="E100" s="51"/>
      <c r="F100" s="51"/>
      <c r="G100" s="19">
        <f t="shared" si="40"/>
        <v>0</v>
      </c>
      <c r="H100" s="52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</row>
    <row r="101" spans="1:52" x14ac:dyDescent="0.25">
      <c r="A101" s="18">
        <f t="shared" si="41"/>
        <v>43706</v>
      </c>
      <c r="B101" s="19">
        <f t="shared" si="39"/>
        <v>0</v>
      </c>
      <c r="C101" s="51"/>
      <c r="D101" s="19">
        <f t="shared" si="42"/>
        <v>0</v>
      </c>
      <c r="E101" s="51"/>
      <c r="F101" s="51"/>
      <c r="G101" s="19">
        <f t="shared" si="40"/>
        <v>0</v>
      </c>
      <c r="H101" s="52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</row>
    <row r="102" spans="1:52" x14ac:dyDescent="0.25">
      <c r="A102" s="18">
        <f t="shared" si="41"/>
        <v>43707</v>
      </c>
      <c r="B102" s="19">
        <f t="shared" si="39"/>
        <v>0</v>
      </c>
      <c r="C102" s="51"/>
      <c r="D102" s="19">
        <f t="shared" si="42"/>
        <v>0</v>
      </c>
      <c r="E102" s="51"/>
      <c r="F102" s="51"/>
      <c r="G102" s="19">
        <f t="shared" si="40"/>
        <v>0</v>
      </c>
      <c r="H102" s="52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</row>
    <row r="103" spans="1:52" x14ac:dyDescent="0.25">
      <c r="A103" s="18">
        <f t="shared" si="41"/>
        <v>43708</v>
      </c>
      <c r="B103" s="19">
        <f t="shared" si="39"/>
        <v>0</v>
      </c>
      <c r="C103" s="51"/>
      <c r="D103" s="19">
        <f t="shared" si="42"/>
        <v>0</v>
      </c>
      <c r="E103" s="51"/>
      <c r="F103" s="51"/>
      <c r="G103" s="19">
        <f t="shared" si="40"/>
        <v>0</v>
      </c>
      <c r="H103" s="52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</row>
    <row r="104" spans="1:52" x14ac:dyDescent="0.25">
      <c r="A104" s="18">
        <f t="shared" si="41"/>
        <v>43709</v>
      </c>
      <c r="B104" s="19">
        <f t="shared" si="39"/>
        <v>0</v>
      </c>
      <c r="C104" s="51"/>
      <c r="D104" s="19">
        <f t="shared" si="42"/>
        <v>0</v>
      </c>
      <c r="E104" s="51"/>
      <c r="F104" s="51"/>
      <c r="G104" s="19">
        <f t="shared" si="40"/>
        <v>0</v>
      </c>
      <c r="H104" s="52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</row>
    <row r="105" spans="1:52" x14ac:dyDescent="0.25">
      <c r="A105" s="20" t="s">
        <v>30</v>
      </c>
      <c r="B105" s="41"/>
      <c r="C105" s="21"/>
      <c r="D105" s="43"/>
      <c r="E105" s="22">
        <f>SUM(E98:E104)</f>
        <v>0</v>
      </c>
      <c r="F105" s="22">
        <f>SUM(F98:F104)</f>
        <v>0</v>
      </c>
      <c r="G105" s="30"/>
      <c r="H105" s="34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</row>
    <row r="106" spans="1:52" x14ac:dyDescent="0.25">
      <c r="A106" s="29" t="s">
        <v>8</v>
      </c>
      <c r="B106" s="30"/>
      <c r="C106" s="30"/>
      <c r="D106" s="30"/>
      <c r="E106" s="55" t="str">
        <f>IFERROR(E105/(E105+F105),"-")</f>
        <v>-</v>
      </c>
      <c r="F106" s="54" t="str">
        <f>IFERROR(F105/(E105+F105),"-")</f>
        <v>-</v>
      </c>
      <c r="G106" s="31"/>
      <c r="H106" s="34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</row>
    <row r="107" spans="1:52" x14ac:dyDescent="0.25">
      <c r="A107" s="38"/>
      <c r="B107" s="23"/>
      <c r="C107" s="23"/>
      <c r="D107" s="23"/>
      <c r="E107" s="39"/>
      <c r="F107" s="40"/>
      <c r="G107" s="33"/>
      <c r="H107" s="34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</row>
    <row r="108" spans="1:52" x14ac:dyDescent="0.25">
      <c r="A108" s="18">
        <f>A104+1</f>
        <v>43710</v>
      </c>
      <c r="B108" s="19">
        <f>C104</f>
        <v>0</v>
      </c>
      <c r="C108" s="51"/>
      <c r="D108" s="19">
        <f>C108-B108</f>
        <v>0</v>
      </c>
      <c r="E108" s="51"/>
      <c r="F108" s="51"/>
      <c r="G108" s="19">
        <f t="shared" ref="G108" si="43">SUM(E108:F108)</f>
        <v>0</v>
      </c>
      <c r="H108" s="52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</row>
    <row r="109" spans="1:52" x14ac:dyDescent="0.25">
      <c r="A109" s="18">
        <f>A108+1</f>
        <v>43711</v>
      </c>
      <c r="B109" s="19">
        <f t="shared" ref="B109:B114" si="44">C108</f>
        <v>0</v>
      </c>
      <c r="C109" s="51"/>
      <c r="D109" s="19">
        <f>C109-B109</f>
        <v>0</v>
      </c>
      <c r="E109" s="51"/>
      <c r="F109" s="51"/>
      <c r="G109" s="19">
        <f t="shared" ref="G109:G114" si="45">SUM(E109:F109)</f>
        <v>0</v>
      </c>
      <c r="H109" s="52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</row>
    <row r="110" spans="1:52" x14ac:dyDescent="0.25">
      <c r="A110" s="18">
        <f t="shared" ref="A110:A114" si="46">A109+1</f>
        <v>43712</v>
      </c>
      <c r="B110" s="19">
        <f t="shared" si="44"/>
        <v>0</v>
      </c>
      <c r="C110" s="51"/>
      <c r="D110" s="19">
        <f t="shared" ref="D110:D114" si="47">C110-B110</f>
        <v>0</v>
      </c>
      <c r="E110" s="51"/>
      <c r="F110" s="51"/>
      <c r="G110" s="19">
        <f t="shared" si="45"/>
        <v>0</v>
      </c>
      <c r="H110" s="52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</row>
    <row r="111" spans="1:52" x14ac:dyDescent="0.25">
      <c r="A111" s="18">
        <f t="shared" si="46"/>
        <v>43713</v>
      </c>
      <c r="B111" s="19">
        <f t="shared" si="44"/>
        <v>0</v>
      </c>
      <c r="C111" s="51"/>
      <c r="D111" s="19">
        <f t="shared" si="47"/>
        <v>0</v>
      </c>
      <c r="E111" s="51"/>
      <c r="F111" s="51"/>
      <c r="G111" s="19">
        <f t="shared" si="45"/>
        <v>0</v>
      </c>
      <c r="H111" s="52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</row>
    <row r="112" spans="1:52" x14ac:dyDescent="0.25">
      <c r="A112" s="18">
        <f t="shared" si="46"/>
        <v>43714</v>
      </c>
      <c r="B112" s="19">
        <f t="shared" si="44"/>
        <v>0</v>
      </c>
      <c r="C112" s="51"/>
      <c r="D112" s="19">
        <f t="shared" si="47"/>
        <v>0</v>
      </c>
      <c r="E112" s="51"/>
      <c r="F112" s="51"/>
      <c r="G112" s="19">
        <f t="shared" si="45"/>
        <v>0</v>
      </c>
      <c r="H112" s="52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</row>
    <row r="113" spans="1:52" x14ac:dyDescent="0.25">
      <c r="A113" s="18">
        <f t="shared" si="46"/>
        <v>43715</v>
      </c>
      <c r="B113" s="19">
        <f t="shared" si="44"/>
        <v>0</v>
      </c>
      <c r="C113" s="51"/>
      <c r="D113" s="19">
        <f t="shared" si="47"/>
        <v>0</v>
      </c>
      <c r="E113" s="51"/>
      <c r="F113" s="51"/>
      <c r="G113" s="19">
        <f t="shared" si="45"/>
        <v>0</v>
      </c>
      <c r="H113" s="52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</row>
    <row r="114" spans="1:52" x14ac:dyDescent="0.25">
      <c r="A114" s="18">
        <f t="shared" si="46"/>
        <v>43716</v>
      </c>
      <c r="B114" s="19">
        <f t="shared" si="44"/>
        <v>0</v>
      </c>
      <c r="C114" s="51"/>
      <c r="D114" s="19">
        <f t="shared" si="47"/>
        <v>0</v>
      </c>
      <c r="E114" s="51"/>
      <c r="F114" s="51"/>
      <c r="G114" s="19">
        <f t="shared" si="45"/>
        <v>0</v>
      </c>
      <c r="H114" s="52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</row>
    <row r="115" spans="1:52" x14ac:dyDescent="0.25">
      <c r="A115" s="20" t="s">
        <v>31</v>
      </c>
      <c r="B115" s="41"/>
      <c r="C115" s="21"/>
      <c r="D115" s="43"/>
      <c r="E115" s="22">
        <f>SUM(E108:E114)</f>
        <v>0</v>
      </c>
      <c r="F115" s="22">
        <f>SUM(F108:F114)</f>
        <v>0</v>
      </c>
      <c r="G115" s="30"/>
      <c r="H115" s="34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</row>
    <row r="116" spans="1:52" x14ac:dyDescent="0.25">
      <c r="A116" s="29" t="s">
        <v>8</v>
      </c>
      <c r="B116" s="30"/>
      <c r="C116" s="30"/>
      <c r="D116" s="30"/>
      <c r="E116" s="55" t="str">
        <f>IFERROR(E115/(E115+F115),"-")</f>
        <v>-</v>
      </c>
      <c r="F116" s="54" t="str">
        <f>IFERROR(F115/(E115+F115),"-")</f>
        <v>-</v>
      </c>
      <c r="G116" s="31"/>
      <c r="H116" s="34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</row>
    <row r="117" spans="1:52" x14ac:dyDescent="0.25">
      <c r="A117" s="38"/>
      <c r="B117" s="23"/>
      <c r="C117" s="23"/>
      <c r="D117" s="23"/>
      <c r="E117" s="39"/>
      <c r="F117" s="40"/>
      <c r="G117" s="33"/>
      <c r="H117" s="28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</row>
    <row r="118" spans="1:52" x14ac:dyDescent="0.25">
      <c r="A118" s="18">
        <f>A114+1</f>
        <v>43717</v>
      </c>
      <c r="B118" s="19">
        <f>C114</f>
        <v>0</v>
      </c>
      <c r="C118" s="51"/>
      <c r="D118" s="19">
        <f>C118-B118</f>
        <v>0</v>
      </c>
      <c r="E118" s="51"/>
      <c r="F118" s="51"/>
      <c r="G118" s="19">
        <f t="shared" ref="G118" si="48">SUM(E118:F118)</f>
        <v>0</v>
      </c>
      <c r="H118" s="52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</row>
    <row r="119" spans="1:52" x14ac:dyDescent="0.25">
      <c r="A119" s="18">
        <f>A118+1</f>
        <v>43718</v>
      </c>
      <c r="B119" s="19">
        <f t="shared" ref="B119:B124" si="49">C118</f>
        <v>0</v>
      </c>
      <c r="C119" s="51"/>
      <c r="D119" s="19">
        <f>C119-B119</f>
        <v>0</v>
      </c>
      <c r="E119" s="51"/>
      <c r="F119" s="51"/>
      <c r="G119" s="19">
        <f t="shared" ref="G119:G124" si="50">SUM(E119:F119)</f>
        <v>0</v>
      </c>
      <c r="H119" s="52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</row>
    <row r="120" spans="1:52" x14ac:dyDescent="0.25">
      <c r="A120" s="18">
        <f t="shared" ref="A120:A124" si="51">A119+1</f>
        <v>43719</v>
      </c>
      <c r="B120" s="19">
        <f t="shared" si="49"/>
        <v>0</v>
      </c>
      <c r="C120" s="51"/>
      <c r="D120" s="19">
        <f t="shared" ref="D120:D124" si="52">C120-B120</f>
        <v>0</v>
      </c>
      <c r="E120" s="51"/>
      <c r="F120" s="51"/>
      <c r="G120" s="19">
        <f t="shared" si="50"/>
        <v>0</v>
      </c>
      <c r="H120" s="52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</row>
    <row r="121" spans="1:52" x14ac:dyDescent="0.25">
      <c r="A121" s="18">
        <f t="shared" si="51"/>
        <v>43720</v>
      </c>
      <c r="B121" s="19">
        <f t="shared" si="49"/>
        <v>0</v>
      </c>
      <c r="C121" s="51"/>
      <c r="D121" s="19">
        <f t="shared" si="52"/>
        <v>0</v>
      </c>
      <c r="E121" s="51"/>
      <c r="F121" s="51"/>
      <c r="G121" s="19">
        <f t="shared" si="50"/>
        <v>0</v>
      </c>
      <c r="H121" s="52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</row>
    <row r="122" spans="1:52" x14ac:dyDescent="0.25">
      <c r="A122" s="18">
        <f t="shared" si="51"/>
        <v>43721</v>
      </c>
      <c r="B122" s="19">
        <f t="shared" si="49"/>
        <v>0</v>
      </c>
      <c r="C122" s="51"/>
      <c r="D122" s="19">
        <f t="shared" si="52"/>
        <v>0</v>
      </c>
      <c r="E122" s="51"/>
      <c r="F122" s="51"/>
      <c r="G122" s="19">
        <f t="shared" si="50"/>
        <v>0</v>
      </c>
      <c r="H122" s="52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</row>
    <row r="123" spans="1:52" x14ac:dyDescent="0.25">
      <c r="A123" s="18">
        <f t="shared" si="51"/>
        <v>43722</v>
      </c>
      <c r="B123" s="19">
        <f t="shared" si="49"/>
        <v>0</v>
      </c>
      <c r="C123" s="51"/>
      <c r="D123" s="19">
        <f t="shared" si="52"/>
        <v>0</v>
      </c>
      <c r="E123" s="51"/>
      <c r="F123" s="51"/>
      <c r="G123" s="19">
        <f t="shared" si="50"/>
        <v>0</v>
      </c>
      <c r="H123" s="52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</row>
    <row r="124" spans="1:52" x14ac:dyDescent="0.25">
      <c r="A124" s="18">
        <f t="shared" si="51"/>
        <v>43723</v>
      </c>
      <c r="B124" s="19">
        <f t="shared" si="49"/>
        <v>0</v>
      </c>
      <c r="C124" s="51"/>
      <c r="D124" s="19">
        <f t="shared" si="52"/>
        <v>0</v>
      </c>
      <c r="E124" s="51"/>
      <c r="F124" s="51"/>
      <c r="G124" s="19">
        <f t="shared" si="50"/>
        <v>0</v>
      </c>
      <c r="H124" s="52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</row>
    <row r="125" spans="1:52" x14ac:dyDescent="0.25">
      <c r="A125" s="20" t="s">
        <v>33</v>
      </c>
      <c r="B125" s="41"/>
      <c r="C125" s="21"/>
      <c r="D125" s="43"/>
      <c r="E125" s="22">
        <f>SUM(E118:E124)</f>
        <v>0</v>
      </c>
      <c r="F125" s="22">
        <f>SUM(F118:F124)</f>
        <v>0</v>
      </c>
      <c r="G125" s="30"/>
      <c r="H125" s="34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</row>
    <row r="126" spans="1:52" x14ac:dyDescent="0.25">
      <c r="A126" s="29" t="s">
        <v>8</v>
      </c>
      <c r="B126" s="30"/>
      <c r="C126" s="30"/>
      <c r="D126" s="30"/>
      <c r="E126" s="55" t="str">
        <f>IFERROR(E125/(E125+F125),"-")</f>
        <v>-</v>
      </c>
      <c r="F126" s="54" t="str">
        <f>IFERROR(F125/(E125+F125),"-")</f>
        <v>-</v>
      </c>
      <c r="G126" s="31"/>
      <c r="H126" s="34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</row>
    <row r="127" spans="1:52" x14ac:dyDescent="0.25">
      <c r="A127" s="38"/>
      <c r="B127" s="23"/>
      <c r="C127" s="23"/>
      <c r="D127" s="23"/>
      <c r="E127" s="37"/>
      <c r="F127" s="37"/>
      <c r="G127" s="33"/>
      <c r="H127" s="34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</row>
    <row r="128" spans="1:52" x14ac:dyDescent="0.25">
      <c r="A128" s="18">
        <f>A124+1</f>
        <v>43724</v>
      </c>
      <c r="B128" s="19">
        <f>C124</f>
        <v>0</v>
      </c>
      <c r="C128" s="51"/>
      <c r="D128" s="19">
        <f>C128-B128</f>
        <v>0</v>
      </c>
      <c r="E128" s="51"/>
      <c r="F128" s="51"/>
      <c r="G128" s="19">
        <f t="shared" ref="G128" si="53">SUM(E128:F128)</f>
        <v>0</v>
      </c>
      <c r="H128" s="52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</row>
    <row r="129" spans="1:52" x14ac:dyDescent="0.25">
      <c r="A129" s="18">
        <f>A128+1</f>
        <v>43725</v>
      </c>
      <c r="B129" s="19">
        <f t="shared" ref="B129:B134" si="54">C128</f>
        <v>0</v>
      </c>
      <c r="C129" s="51"/>
      <c r="D129" s="19">
        <f>C129-B129</f>
        <v>0</v>
      </c>
      <c r="E129" s="51"/>
      <c r="F129" s="51"/>
      <c r="G129" s="19">
        <f t="shared" ref="G129:G134" si="55">SUM(E129:F129)</f>
        <v>0</v>
      </c>
      <c r="H129" s="52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</row>
    <row r="130" spans="1:52" x14ac:dyDescent="0.25">
      <c r="A130" s="18">
        <f t="shared" ref="A130:A134" si="56">A129+1</f>
        <v>43726</v>
      </c>
      <c r="B130" s="19">
        <f t="shared" si="54"/>
        <v>0</v>
      </c>
      <c r="C130" s="51"/>
      <c r="D130" s="19">
        <f t="shared" ref="D130:D134" si="57">C130-B130</f>
        <v>0</v>
      </c>
      <c r="E130" s="51"/>
      <c r="F130" s="51"/>
      <c r="G130" s="19">
        <f t="shared" si="55"/>
        <v>0</v>
      </c>
      <c r="H130" s="52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</row>
    <row r="131" spans="1:52" x14ac:dyDescent="0.25">
      <c r="A131" s="18">
        <f t="shared" si="56"/>
        <v>43727</v>
      </c>
      <c r="B131" s="19">
        <f t="shared" si="54"/>
        <v>0</v>
      </c>
      <c r="C131" s="51"/>
      <c r="D131" s="19">
        <f t="shared" si="57"/>
        <v>0</v>
      </c>
      <c r="E131" s="51"/>
      <c r="F131" s="51"/>
      <c r="G131" s="19">
        <f t="shared" si="55"/>
        <v>0</v>
      </c>
      <c r="H131" s="52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</row>
    <row r="132" spans="1:52" x14ac:dyDescent="0.25">
      <c r="A132" s="18">
        <f t="shared" si="56"/>
        <v>43728</v>
      </c>
      <c r="B132" s="19">
        <f t="shared" si="54"/>
        <v>0</v>
      </c>
      <c r="C132" s="51"/>
      <c r="D132" s="19">
        <f t="shared" si="57"/>
        <v>0</v>
      </c>
      <c r="E132" s="51"/>
      <c r="F132" s="51"/>
      <c r="G132" s="19">
        <f t="shared" si="55"/>
        <v>0</v>
      </c>
      <c r="H132" s="52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</row>
    <row r="133" spans="1:52" x14ac:dyDescent="0.25">
      <c r="A133" s="18">
        <f t="shared" si="56"/>
        <v>43729</v>
      </c>
      <c r="B133" s="19">
        <f t="shared" si="54"/>
        <v>0</v>
      </c>
      <c r="C133" s="51"/>
      <c r="D133" s="19">
        <f t="shared" si="57"/>
        <v>0</v>
      </c>
      <c r="E133" s="51"/>
      <c r="F133" s="51"/>
      <c r="G133" s="19">
        <f t="shared" si="55"/>
        <v>0</v>
      </c>
      <c r="H133" s="52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</row>
    <row r="134" spans="1:52" x14ac:dyDescent="0.25">
      <c r="A134" s="18">
        <f t="shared" si="56"/>
        <v>43730</v>
      </c>
      <c r="B134" s="19">
        <f t="shared" si="54"/>
        <v>0</v>
      </c>
      <c r="C134" s="51"/>
      <c r="D134" s="19">
        <f t="shared" si="57"/>
        <v>0</v>
      </c>
      <c r="E134" s="51"/>
      <c r="F134" s="51"/>
      <c r="G134" s="19">
        <f t="shared" si="55"/>
        <v>0</v>
      </c>
      <c r="H134" s="52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</row>
    <row r="135" spans="1:52" x14ac:dyDescent="0.25">
      <c r="A135" s="20" t="s">
        <v>34</v>
      </c>
      <c r="B135" s="41"/>
      <c r="C135" s="21"/>
      <c r="D135" s="43"/>
      <c r="E135" s="22">
        <f>SUM(E128:E134)</f>
        <v>0</v>
      </c>
      <c r="F135" s="22">
        <f>SUM(F128:F134)</f>
        <v>0</v>
      </c>
      <c r="G135" s="30"/>
      <c r="H135" s="34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</row>
    <row r="136" spans="1:52" x14ac:dyDescent="0.25">
      <c r="A136" s="44" t="s">
        <v>8</v>
      </c>
      <c r="B136" s="45"/>
      <c r="C136" s="26"/>
      <c r="D136" s="46"/>
      <c r="E136" s="55" t="str">
        <f>IFERROR(E135/(E135+F135),"-")</f>
        <v>-</v>
      </c>
      <c r="F136" s="54" t="str">
        <f>IFERROR(F135/(E135+F135),"-")</f>
        <v>-</v>
      </c>
      <c r="G136" s="33"/>
      <c r="H136" s="34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</row>
    <row r="137" spans="1:52" x14ac:dyDescent="0.25">
      <c r="A137" s="4" t="s">
        <v>9</v>
      </c>
      <c r="B137" s="45"/>
      <c r="C137" s="26"/>
      <c r="D137" s="46"/>
      <c r="E137" s="22">
        <f>SUM(E135,E125,E115,E105,E95,E85,E75,E65,E55,E45,E35,E25)</f>
        <v>0</v>
      </c>
      <c r="F137" s="22">
        <f>SUM(F135,F125,F115,F105,F95,F85,F75,F65,F55,F45,F35,F25)</f>
        <v>0</v>
      </c>
      <c r="G137" s="30"/>
      <c r="H137" s="4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</row>
    <row r="138" spans="1:52" x14ac:dyDescent="0.25">
      <c r="A138" s="4" t="s">
        <v>10</v>
      </c>
      <c r="B138" s="48"/>
      <c r="C138" s="48"/>
      <c r="D138" s="48"/>
      <c r="E138" s="55" t="str">
        <f>IFERROR(E137/(E137+F137),"-")</f>
        <v>-</v>
      </c>
      <c r="F138" s="54" t="str">
        <f>IFERROR(F137/(E137+F137),"-")</f>
        <v>-</v>
      </c>
      <c r="G138" s="49"/>
      <c r="H138" s="28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</row>
    <row r="139" spans="1:52" x14ac:dyDescent="0.25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</row>
    <row r="140" spans="1:52" x14ac:dyDescent="0.25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</row>
    <row r="141" spans="1:52" ht="15.75" x14ac:dyDescent="0.25">
      <c r="A141" s="58" t="s">
        <v>36</v>
      </c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</row>
    <row r="142" spans="1:52" x14ac:dyDescent="0.25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</row>
    <row r="143" spans="1:52" x14ac:dyDescent="0.25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</row>
    <row r="144" spans="1:52" x14ac:dyDescent="0.25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</row>
    <row r="145" spans="1:52" x14ac:dyDescent="0.2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</row>
    <row r="146" spans="1:52" x14ac:dyDescent="0.25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</row>
    <row r="147" spans="1:52" x14ac:dyDescent="0.25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</row>
    <row r="148" spans="1:52" x14ac:dyDescent="0.25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</row>
    <row r="149" spans="1:52" x14ac:dyDescent="0.25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</row>
    <row r="150" spans="1:52" x14ac:dyDescent="0.25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</row>
    <row r="151" spans="1:52" x14ac:dyDescent="0.25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</row>
    <row r="152" spans="1:52" x14ac:dyDescent="0.25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</row>
    <row r="153" spans="1:52" x14ac:dyDescent="0.25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</row>
    <row r="154" spans="1:52" x14ac:dyDescent="0.25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</row>
    <row r="155" spans="1:52" x14ac:dyDescent="0.2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</row>
    <row r="156" spans="1:52" x14ac:dyDescent="0.25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</row>
    <row r="157" spans="1:52" x14ac:dyDescent="0.25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</row>
    <row r="158" spans="1:52" x14ac:dyDescent="0.25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</row>
    <row r="159" spans="1:52" x14ac:dyDescent="0.25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</row>
    <row r="160" spans="1:52" x14ac:dyDescent="0.25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</row>
    <row r="161" spans="1:52" x14ac:dyDescent="0.25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</row>
    <row r="162" spans="1:52" x14ac:dyDescent="0.25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</row>
    <row r="163" spans="1:52" x14ac:dyDescent="0.25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</row>
    <row r="164" spans="1:52" x14ac:dyDescent="0.25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</row>
    <row r="165" spans="1:52" x14ac:dyDescent="0.2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</row>
    <row r="166" spans="1:52" x14ac:dyDescent="0.25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</row>
    <row r="167" spans="1:52" x14ac:dyDescent="0.25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</row>
    <row r="168" spans="1:52" x14ac:dyDescent="0.25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</row>
    <row r="169" spans="1:52" x14ac:dyDescent="0.2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</row>
    <row r="170" spans="1:52" x14ac:dyDescent="0.25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</row>
    <row r="171" spans="1:52" x14ac:dyDescent="0.25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</row>
    <row r="172" spans="1:52" x14ac:dyDescent="0.25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</row>
    <row r="173" spans="1:52" x14ac:dyDescent="0.25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</row>
    <row r="174" spans="1:52" x14ac:dyDescent="0.25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</row>
    <row r="175" spans="1:52" x14ac:dyDescent="0.2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</row>
    <row r="176" spans="1:52" x14ac:dyDescent="0.25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</row>
    <row r="177" spans="1:52" x14ac:dyDescent="0.25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</row>
    <row r="178" spans="1:52" x14ac:dyDescent="0.25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</row>
    <row r="179" spans="1:52" x14ac:dyDescent="0.25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</row>
    <row r="180" spans="1:52" x14ac:dyDescent="0.25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</row>
    <row r="181" spans="1:52" x14ac:dyDescent="0.25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</row>
    <row r="182" spans="1:52" x14ac:dyDescent="0.25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</row>
    <row r="183" spans="1:52" x14ac:dyDescent="0.25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</row>
    <row r="184" spans="1:52" x14ac:dyDescent="0.25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</row>
    <row r="185" spans="1:52" x14ac:dyDescent="0.2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</row>
    <row r="186" spans="1:52" x14ac:dyDescent="0.25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</row>
    <row r="187" spans="1:52" x14ac:dyDescent="0.25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</row>
    <row r="188" spans="1:52" x14ac:dyDescent="0.25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</row>
    <row r="189" spans="1:52" x14ac:dyDescent="0.25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</row>
    <row r="190" spans="1:52" x14ac:dyDescent="0.25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</row>
    <row r="191" spans="1:52" x14ac:dyDescent="0.25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</row>
    <row r="192" spans="1:52" x14ac:dyDescent="0.25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</row>
    <row r="193" spans="1:52" x14ac:dyDescent="0.25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</row>
    <row r="194" spans="1:52" x14ac:dyDescent="0.25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</row>
    <row r="195" spans="1:52" x14ac:dyDescent="0.2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</row>
    <row r="196" spans="1:52" x14ac:dyDescent="0.25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</row>
    <row r="197" spans="1:52" x14ac:dyDescent="0.25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</row>
    <row r="198" spans="1:52" x14ac:dyDescent="0.25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</row>
    <row r="199" spans="1:52" x14ac:dyDescent="0.25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</row>
    <row r="200" spans="1:52" x14ac:dyDescent="0.25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</row>
    <row r="201" spans="1:52" x14ac:dyDescent="0.25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</row>
    <row r="202" spans="1:52" x14ac:dyDescent="0.25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</row>
    <row r="203" spans="1:52" x14ac:dyDescent="0.25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</row>
    <row r="204" spans="1:52" x14ac:dyDescent="0.25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</row>
    <row r="205" spans="1:52" x14ac:dyDescent="0.2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</row>
    <row r="206" spans="1:52" x14ac:dyDescent="0.25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</row>
    <row r="207" spans="1:52" x14ac:dyDescent="0.25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</row>
    <row r="208" spans="1:52" x14ac:dyDescent="0.25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</row>
    <row r="209" spans="1:52" x14ac:dyDescent="0.25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</row>
    <row r="210" spans="1:52" x14ac:dyDescent="0.25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</row>
    <row r="211" spans="1:52" x14ac:dyDescent="0.25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</row>
    <row r="212" spans="1:52" x14ac:dyDescent="0.25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</row>
    <row r="213" spans="1:52" x14ac:dyDescent="0.25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</row>
    <row r="214" spans="1:52" x14ac:dyDescent="0.25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</row>
    <row r="215" spans="1:52" x14ac:dyDescent="0.2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</row>
    <row r="216" spans="1:52" x14ac:dyDescent="0.25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</row>
    <row r="217" spans="1:52" x14ac:dyDescent="0.25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</row>
    <row r="218" spans="1:52" x14ac:dyDescent="0.25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</row>
    <row r="219" spans="1:52" x14ac:dyDescent="0.25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</row>
    <row r="220" spans="1:52" x14ac:dyDescent="0.25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</row>
    <row r="221" spans="1:52" x14ac:dyDescent="0.25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</row>
    <row r="222" spans="1:52" x14ac:dyDescent="0.25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</row>
    <row r="223" spans="1:52" x14ac:dyDescent="0.25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</row>
    <row r="224" spans="1:52" x14ac:dyDescent="0.25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</row>
    <row r="225" spans="1:52" x14ac:dyDescent="0.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</row>
    <row r="226" spans="1:52" x14ac:dyDescent="0.25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</row>
    <row r="227" spans="1:52" x14ac:dyDescent="0.25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</row>
    <row r="228" spans="1:52" x14ac:dyDescent="0.25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</row>
    <row r="229" spans="1:52" x14ac:dyDescent="0.25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</row>
    <row r="230" spans="1:52" x14ac:dyDescent="0.25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</row>
    <row r="231" spans="1:52" x14ac:dyDescent="0.25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</row>
    <row r="232" spans="1:52" x14ac:dyDescent="0.25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</row>
    <row r="233" spans="1:52" x14ac:dyDescent="0.25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</row>
    <row r="234" spans="1:52" x14ac:dyDescent="0.25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</row>
    <row r="235" spans="1:52" x14ac:dyDescent="0.2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</row>
    <row r="236" spans="1:52" x14ac:dyDescent="0.25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</row>
    <row r="237" spans="1:52" x14ac:dyDescent="0.25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</row>
    <row r="238" spans="1:52" x14ac:dyDescent="0.25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</row>
    <row r="239" spans="1:52" x14ac:dyDescent="0.25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</row>
    <row r="240" spans="1:52" x14ac:dyDescent="0.25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</row>
    <row r="241" spans="1:52" x14ac:dyDescent="0.25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</row>
    <row r="242" spans="1:52" x14ac:dyDescent="0.25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</row>
    <row r="243" spans="1:52" x14ac:dyDescent="0.25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</row>
    <row r="244" spans="1:52" x14ac:dyDescent="0.25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</row>
    <row r="245" spans="1:52" x14ac:dyDescent="0.2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</row>
    <row r="246" spans="1:52" x14ac:dyDescent="0.25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</row>
    <row r="247" spans="1:52" x14ac:dyDescent="0.25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</row>
    <row r="248" spans="1:52" x14ac:dyDescent="0.25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</row>
    <row r="249" spans="1:52" x14ac:dyDescent="0.25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</row>
    <row r="250" spans="1:52" x14ac:dyDescent="0.25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</row>
    <row r="251" spans="1:52" x14ac:dyDescent="0.25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</row>
    <row r="252" spans="1:52" x14ac:dyDescent="0.25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</row>
    <row r="253" spans="1:52" x14ac:dyDescent="0.25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</row>
    <row r="254" spans="1:52" x14ac:dyDescent="0.25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</row>
    <row r="255" spans="1:52" x14ac:dyDescent="0.2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</row>
    <row r="256" spans="1:52" x14ac:dyDescent="0.25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</row>
    <row r="257" spans="1:52" x14ac:dyDescent="0.25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</row>
    <row r="258" spans="1:52" x14ac:dyDescent="0.25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</row>
    <row r="259" spans="1:52" x14ac:dyDescent="0.25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</row>
    <row r="260" spans="1:52" x14ac:dyDescent="0.25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</row>
    <row r="261" spans="1:52" x14ac:dyDescent="0.25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</row>
    <row r="262" spans="1:52" x14ac:dyDescent="0.25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</row>
    <row r="263" spans="1:52" x14ac:dyDescent="0.25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</row>
    <row r="264" spans="1:52" x14ac:dyDescent="0.25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</row>
    <row r="265" spans="1:52" x14ac:dyDescent="0.2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</row>
    <row r="266" spans="1:52" x14ac:dyDescent="0.25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</row>
    <row r="267" spans="1:52" x14ac:dyDescent="0.25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</row>
    <row r="268" spans="1:52" x14ac:dyDescent="0.25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</row>
    <row r="269" spans="1:52" x14ac:dyDescent="0.25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</row>
    <row r="270" spans="1:52" x14ac:dyDescent="0.25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</row>
    <row r="271" spans="1:52" x14ac:dyDescent="0.25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</row>
    <row r="272" spans="1:52" x14ac:dyDescent="0.25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</row>
    <row r="273" spans="1:52" x14ac:dyDescent="0.25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</row>
    <row r="274" spans="1:52" x14ac:dyDescent="0.25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</row>
    <row r="275" spans="1:52" x14ac:dyDescent="0.2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</row>
    <row r="276" spans="1:52" x14ac:dyDescent="0.25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</row>
    <row r="277" spans="1:52" x14ac:dyDescent="0.25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</row>
    <row r="278" spans="1:52" x14ac:dyDescent="0.25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</row>
    <row r="279" spans="1:52" x14ac:dyDescent="0.25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</row>
    <row r="280" spans="1:52" x14ac:dyDescent="0.25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</row>
    <row r="281" spans="1:52" x14ac:dyDescent="0.25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</row>
    <row r="282" spans="1:52" x14ac:dyDescent="0.25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</row>
    <row r="283" spans="1:52" x14ac:dyDescent="0.25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</row>
    <row r="284" spans="1:52" x14ac:dyDescent="0.25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</row>
    <row r="285" spans="1:52" x14ac:dyDescent="0.2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</row>
    <row r="286" spans="1:52" x14ac:dyDescent="0.25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</row>
    <row r="287" spans="1:52" x14ac:dyDescent="0.25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</row>
    <row r="288" spans="1:52" x14ac:dyDescent="0.25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</row>
    <row r="289" spans="1:52" x14ac:dyDescent="0.25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</row>
    <row r="290" spans="1:52" x14ac:dyDescent="0.25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</row>
    <row r="291" spans="1:52" x14ac:dyDescent="0.25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</row>
    <row r="292" spans="1:52" x14ac:dyDescent="0.25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</row>
    <row r="293" spans="1:52" x14ac:dyDescent="0.25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</row>
    <row r="294" spans="1:52" x14ac:dyDescent="0.25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</row>
    <row r="295" spans="1:52" x14ac:dyDescent="0.2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</row>
    <row r="296" spans="1:52" x14ac:dyDescent="0.25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</row>
    <row r="297" spans="1:52" x14ac:dyDescent="0.25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</row>
    <row r="298" spans="1:52" x14ac:dyDescent="0.25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</row>
    <row r="299" spans="1:52" x14ac:dyDescent="0.25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</row>
  </sheetData>
  <sheetProtection algorithmName="SHA-512" hashValue="LYtenVwgp1mFC8Ek+3/7YF3/mgbixMvU0gVU0j48YGU/rxRaabJmG45tdm5x+SGjtbMamzVSbjQxan8pFlpD6Q==" saltValue="ZbSkGxMnLwvfpOP85sSF2Q==" spinCount="100000" sheet="1" objects="1" scenarios="1"/>
  <mergeCells count="12">
    <mergeCell ref="B14:E14"/>
    <mergeCell ref="B16:D16"/>
    <mergeCell ref="E16:G16"/>
    <mergeCell ref="B1:G6"/>
    <mergeCell ref="A7:H7"/>
    <mergeCell ref="A16:A17"/>
    <mergeCell ref="H16:H17"/>
    <mergeCell ref="B9:E9"/>
    <mergeCell ref="B10:E10"/>
    <mergeCell ref="B11:E11"/>
    <mergeCell ref="B12:E12"/>
    <mergeCell ref="B13:E13"/>
  </mergeCells>
  <hyperlinks>
    <hyperlink ref="H4" r:id="rId1"/>
  </hyperlinks>
  <pageMargins left="0.7" right="0.7" top="0.75" bottom="0.75" header="0.3" footer="0.3"/>
  <pageSetup paperSize="9" scale="64" orientation="portrait" r:id="rId2"/>
  <rowBreaks count="1" manualBreakCount="1">
    <brk id="67" max="7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Gilliam</dc:creator>
  <cp:lastModifiedBy>Mark Gilliam</cp:lastModifiedBy>
  <dcterms:created xsi:type="dcterms:W3CDTF">2014-10-14T05:56:56Z</dcterms:created>
  <dcterms:modified xsi:type="dcterms:W3CDTF">2020-04-06T07:18:41Z</dcterms:modified>
</cp:coreProperties>
</file>